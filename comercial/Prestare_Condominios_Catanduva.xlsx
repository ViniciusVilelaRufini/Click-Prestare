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omínios Catanduva" sheetId="1" state="visible" r:id="rId3"/>
    <sheet name="Preço" sheetId="2" state="visible" r:id="rId4"/>
    <sheet name="Fontes e méto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<sst xmlns="http://schemas.openxmlformats.org/spreadsheetml/2006/main" count="494" uniqueCount="298">
  <si>
    <t xml:space="preserve">Condomínios verticais de Catanduva/SP — 106 identificados</t>
  </si>
  <si>
    <t xml:space="preserve">Nome, endereço e bairro vêm de fontes públicas. A coluna Unidades é amarela porque precisa ser confirmada em campo.</t>
  </si>
  <si>
    <t xml:space="preserve">#</t>
  </si>
  <si>
    <t xml:space="preserve">Condomínio</t>
  </si>
  <si>
    <t xml:space="preserve">Endereço</t>
  </si>
  <si>
    <t xml:space="preserve">Bairro</t>
  </si>
  <si>
    <t xml:space="preserve">Tipo</t>
  </si>
  <si>
    <t xml:space="preserve">Já é cliente?</t>
  </si>
  <si>
    <t xml:space="preserve">Unidades</t>
  </si>
  <si>
    <t xml:space="preserve">Faixa</t>
  </si>
  <si>
    <t xml:space="preserve">Mensalidade</t>
  </si>
  <si>
    <t xml:space="preserve">Receita 12 meses</t>
  </si>
  <si>
    <t xml:space="preserve">Síndico</t>
  </si>
  <si>
    <t xml:space="preserve">Telefone</t>
  </si>
  <si>
    <t xml:space="preserve">Status</t>
  </si>
  <si>
    <t xml:space="preserve">Observações</t>
  </si>
  <si>
    <t xml:space="preserve">Condomínio Edifício Alagoas</t>
  </si>
  <si>
    <t xml:space="preserve">Rua Alagoas, 340</t>
  </si>
  <si>
    <t xml:space="preserve">Centro</t>
  </si>
  <si>
    <t xml:space="preserve">Residencial</t>
  </si>
  <si>
    <t xml:space="preserve">Condomínio Edifício Amazonas</t>
  </si>
  <si>
    <t xml:space="preserve">Rua Minas Gerais, 106</t>
  </si>
  <si>
    <t xml:space="preserve">Condomínio Edifício Arnaldo Bittencourt</t>
  </si>
  <si>
    <t xml:space="preserve">Rua Sergipe, 197</t>
  </si>
  <si>
    <t xml:space="preserve">Condomínio Edifício Arquiteto Roberto Yazigi</t>
  </si>
  <si>
    <t xml:space="preserve">Rua 13 de Maio, 337</t>
  </si>
  <si>
    <t xml:space="preserve">Condomínio Edifício Bahia</t>
  </si>
  <si>
    <t xml:space="preserve">Rua Bahia, 321</t>
  </si>
  <si>
    <t xml:space="preserve">Condomínio Edifício Caiobá</t>
  </si>
  <si>
    <t xml:space="preserve">Rua Ceará, 712</t>
  </si>
  <si>
    <t xml:space="preserve">Condomínio Edifício Catanduva Center Comercial</t>
  </si>
  <si>
    <t xml:space="preserve">Rua Treze de Maio, 271</t>
  </si>
  <si>
    <t xml:space="preserve">Comercial / não residencial</t>
  </si>
  <si>
    <t xml:space="preserve">Condomínio Edifício Catanduva Shopping Center e Hotel</t>
  </si>
  <si>
    <t xml:space="preserve">Praça Monsenhor Albino, 114</t>
  </si>
  <si>
    <t xml:space="preserve">Condomínio Edifício Comendador Elias Wady</t>
  </si>
  <si>
    <t xml:space="preserve">Rua Pernambuco, 267</t>
  </si>
  <si>
    <t xml:space="preserve">Condomínio Edifício Comercial Minas Center</t>
  </si>
  <si>
    <t xml:space="preserve">Rua 21 de Abril, 466</t>
  </si>
  <si>
    <t xml:space="preserve">Condomínio Edifício Conjunto Residencial Ilhas Gregas</t>
  </si>
  <si>
    <t xml:space="preserve">Rua Sergipe, 609</t>
  </si>
  <si>
    <t xml:space="preserve">Condomínio Edifício Drogasil-Catanduva</t>
  </si>
  <si>
    <t xml:space="preserve">Rua Brasil, 648</t>
  </si>
  <si>
    <t xml:space="preserve">Condomínio Edifício Esther</t>
  </si>
  <si>
    <t xml:space="preserve">Rua Bahia, 143</t>
  </si>
  <si>
    <t xml:space="preserve">Condomínio Edifício Estrela Maia</t>
  </si>
  <si>
    <t xml:space="preserve">Rua Amazonas, 1577</t>
  </si>
  <si>
    <t xml:space="preserve">Condomínio Edifício Floriano Lima</t>
  </si>
  <si>
    <t xml:space="preserve">Rua Mogi Mirim, 63</t>
  </si>
  <si>
    <t xml:space="preserve">Condomínio Edifício Giselda</t>
  </si>
  <si>
    <t xml:space="preserve">Rua Minas Gerais, 155</t>
  </si>
  <si>
    <t xml:space="preserve">Condomínio Edifício Grão Pará</t>
  </si>
  <si>
    <t xml:space="preserve">Rua Pará, 353</t>
  </si>
  <si>
    <t xml:space="preserve">SIM</t>
  </si>
  <si>
    <t xml:space="preserve">Condomínio Edifício João Alonso Garcia</t>
  </si>
  <si>
    <t xml:space="preserve">Praça 9 de Julho, 131</t>
  </si>
  <si>
    <t xml:space="preserve">Condomínio Edifício Magoga</t>
  </si>
  <si>
    <t xml:space="preserve">Rua Alagoas, 411</t>
  </si>
  <si>
    <t xml:space="preserve">Condomínio Edifício Manaus</t>
  </si>
  <si>
    <t xml:space="preserve">Rua Manaus, 425</t>
  </si>
  <si>
    <t xml:space="preserve">Condomínio Edifício Marcílio Patriani</t>
  </si>
  <si>
    <t xml:space="preserve">Rua Pará, 433</t>
  </si>
  <si>
    <t xml:space="preserve">Condomínio Edifício Mediterrâneo</t>
  </si>
  <si>
    <t xml:space="preserve">Rua Bahia, 27</t>
  </si>
  <si>
    <t xml:space="preserve">Condomínio Edifício Monsenhor Albino</t>
  </si>
  <si>
    <t xml:space="preserve">Rua Bahia, 55</t>
  </si>
  <si>
    <t xml:space="preserve">Condomínio Edifício Professor Raul do Prado Vianna</t>
  </si>
  <si>
    <t xml:space="preserve">Rua Ceará, 527</t>
  </si>
  <si>
    <t xml:space="preserve">Condomínio Edifício Renato Ribeiro</t>
  </si>
  <si>
    <t xml:space="preserve">Rua Aracaju, 381</t>
  </si>
  <si>
    <t xml:space="preserve">Condomínio Edifício Residencial Acapulco</t>
  </si>
  <si>
    <t xml:space="preserve">Rua Bahia, 521</t>
  </si>
  <si>
    <t xml:space="preserve">Condomínio Edifício Residencial Antônio Dispore</t>
  </si>
  <si>
    <t xml:space="preserve">Rua Recife, 585</t>
  </si>
  <si>
    <t xml:space="preserve">Condomínio Edifício Residencial Barcelona</t>
  </si>
  <si>
    <t xml:space="preserve">Rua Ceará, 550</t>
  </si>
  <si>
    <t xml:space="preserve">Condomínio Edifício Residencial Fabiano Ramos</t>
  </si>
  <si>
    <t xml:space="preserve">Rua Maranhão, 1560</t>
  </si>
  <si>
    <t xml:space="preserve">Condomínio Edifício Residencial Higino Gradella</t>
  </si>
  <si>
    <t xml:space="preserve">Rua Teresina, 842</t>
  </si>
  <si>
    <t xml:space="preserve">Condomínio Edifício Residencial Marieta Zancaner</t>
  </si>
  <si>
    <t xml:space="preserve">Rua Alagoas, 341</t>
  </si>
  <si>
    <t xml:space="preserve">Condomínio Edifício Residencial Monte Carlo</t>
  </si>
  <si>
    <t xml:space="preserve">Rua Alagoas, 654</t>
  </si>
  <si>
    <t xml:space="preserve">Condomínio Edifício Residencial Octávio Anovazzi</t>
  </si>
  <si>
    <t xml:space="preserve">Rua Bahia, 1044</t>
  </si>
  <si>
    <t xml:space="preserve">Condomínio Edifício Residencial Serra Negra</t>
  </si>
  <si>
    <t xml:space="preserve">Rua Maranhão, 742</t>
  </si>
  <si>
    <t xml:space="preserve">Condomínio Edifício Residencial Veneza</t>
  </si>
  <si>
    <t xml:space="preserve">Rua Amazonas, 290</t>
  </si>
  <si>
    <t xml:space="preserve">Condomínio Edifício Rio Negro</t>
  </si>
  <si>
    <t xml:space="preserve">Rua Belém, 15</t>
  </si>
  <si>
    <t xml:space="preserve">Condomínio Edifício Roque Barba</t>
  </si>
  <si>
    <t xml:space="preserve">Rua 13 de Maio, 341</t>
  </si>
  <si>
    <t xml:space="preserve">Condomínio Edifício Santa Cruz</t>
  </si>
  <si>
    <t xml:space="preserve">Rua Aracaju, 390</t>
  </si>
  <si>
    <t xml:space="preserve">Condomínio Edifício Shangri-La</t>
  </si>
  <si>
    <t xml:space="preserve">Rua Aracaju, 545</t>
  </si>
  <si>
    <t xml:space="preserve">Condomínio Edifício Veredas do Sol</t>
  </si>
  <si>
    <t xml:space="preserve">Rua Alagoas, 724</t>
  </si>
  <si>
    <t xml:space="preserve">Condomínio Edifício do Café</t>
  </si>
  <si>
    <t xml:space="preserve">Praça da República, 6</t>
  </si>
  <si>
    <t xml:space="preserve">Condomínio Edifício Ângela Mastrocola</t>
  </si>
  <si>
    <t xml:space="preserve">Praça da República, 120</t>
  </si>
  <si>
    <t xml:space="preserve">Condomínio Residencial Antônio Simieli</t>
  </si>
  <si>
    <t xml:space="preserve">Rua Minas Gerais, 180</t>
  </si>
  <si>
    <t xml:space="preserve">Condomínio Residencial Aurélio Righini</t>
  </si>
  <si>
    <t xml:space="preserve">Rua Treze de Maio, 1779</t>
  </si>
  <si>
    <t xml:space="preserve">Condomínio Residencial Bahia</t>
  </si>
  <si>
    <t xml:space="preserve">Rua Bahia, 1303</t>
  </si>
  <si>
    <t xml:space="preserve">Condomínio Residencial Cuiabá</t>
  </si>
  <si>
    <t xml:space="preserve">Rua Cuiabá, 1535</t>
  </si>
  <si>
    <t xml:space="preserve">Condomínio Residencial Escala</t>
  </si>
  <si>
    <t xml:space="preserve">Praça Nove de Julho, 176</t>
  </si>
  <si>
    <t xml:space="preserve">Condomínio Residencial Fuad Bauab</t>
  </si>
  <si>
    <t xml:space="preserve">Rua 13 de Maio, 842</t>
  </si>
  <si>
    <t xml:space="preserve">Condomínio Residencial Itamaracá</t>
  </si>
  <si>
    <t xml:space="preserve">Rua Fortaleza, 365</t>
  </si>
  <si>
    <t xml:space="preserve">Condomínio Residencial Itapoá</t>
  </si>
  <si>
    <t xml:space="preserve">Rua Pernambuco, 340</t>
  </si>
  <si>
    <t xml:space="preserve">Condomínio Residencial Jardim do Bosque</t>
  </si>
  <si>
    <t xml:space="preserve">Av. Daniel Soubhia, 1370</t>
  </si>
  <si>
    <t xml:space="preserve">Condomínio Residencial Pontal da Barra</t>
  </si>
  <si>
    <t xml:space="preserve">Rua Alagoas, 944</t>
  </si>
  <si>
    <t xml:space="preserve">Condomínio Residencial San Martim</t>
  </si>
  <si>
    <t xml:space="preserve">Rua Bahia, 82</t>
  </si>
  <si>
    <t xml:space="preserve">Condomínio Residencial Vitória Régia</t>
  </si>
  <si>
    <t xml:space="preserve">Rua Bahia, 235</t>
  </si>
  <si>
    <t xml:space="preserve">Edifício Engenheiro José Nelson Machado</t>
  </si>
  <si>
    <t xml:space="preserve">Praça da República, 145</t>
  </si>
  <si>
    <t xml:space="preserve">Edifício Residencial Alvorada</t>
  </si>
  <si>
    <t xml:space="preserve">Rua Ceará, 859</t>
  </si>
  <si>
    <t xml:space="preserve">Condomínio Residencial Flamboyant</t>
  </si>
  <si>
    <t xml:space="preserve">Rua Atibaia, 90</t>
  </si>
  <si>
    <t xml:space="preserve">Conj. Hab. Pref. João Righini</t>
  </si>
  <si>
    <t xml:space="preserve">Condomínio Edifício Bahamas</t>
  </si>
  <si>
    <t xml:space="preserve">Rua Espírito Santo, 60</t>
  </si>
  <si>
    <t xml:space="preserve">Higienópolis</t>
  </si>
  <si>
    <t xml:space="preserve">Condomínio Edifício Residencial Antônio Alonso Garcia</t>
  </si>
  <si>
    <t xml:space="preserve">Rua Mato Grosso, 585</t>
  </si>
  <si>
    <t xml:space="preserve">Condomínio Edifício Residencial Higienópolis</t>
  </si>
  <si>
    <t xml:space="preserve">Praça Independência, 31</t>
  </si>
  <si>
    <t xml:space="preserve">Condomínio Residencial João Rojas Frias</t>
  </si>
  <si>
    <t xml:space="preserve">Rua 14 de Abril, 548</t>
  </si>
  <si>
    <t xml:space="preserve">Condomínio Edifício Residencial Santos Dumont</t>
  </si>
  <si>
    <t xml:space="preserve">Av. Deputado Orlando Zancaner, 105</t>
  </si>
  <si>
    <t xml:space="preserve">Jardim Amêndola</t>
  </si>
  <si>
    <t xml:space="preserve">Condomínio Residencial Gabriela</t>
  </si>
  <si>
    <t xml:space="preserve">Rua São Carlos, 1117</t>
  </si>
  <si>
    <t xml:space="preserve">Jardim Belém</t>
  </si>
  <si>
    <t xml:space="preserve">Residencial Casa de Atenas</t>
  </si>
  <si>
    <t xml:space="preserve">Rua Uruguaiana, 2221</t>
  </si>
  <si>
    <t xml:space="preserve">Jardim Glória</t>
  </si>
  <si>
    <t xml:space="preserve">Residencial Casa de Viena</t>
  </si>
  <si>
    <t xml:space="preserve">Rua Uruguaiana, 2157</t>
  </si>
  <si>
    <t xml:space="preserve">Condomínio Solar dos Girassóis</t>
  </si>
  <si>
    <t xml:space="preserve">Rua Francisco Galli, 112</t>
  </si>
  <si>
    <t xml:space="preserve">Jardim Martani</t>
  </si>
  <si>
    <t xml:space="preserve">Residencial Parque Casa de Cervantes</t>
  </si>
  <si>
    <t xml:space="preserve">Av. Manoel Francisco de Abreu, 272</t>
  </si>
  <si>
    <t xml:space="preserve">Jardim Monte Carlo</t>
  </si>
  <si>
    <t xml:space="preserve">Condomínio Sunset Student House</t>
  </si>
  <si>
    <t xml:space="preserve">Rodovia Alfredo Jorge, 25</t>
  </si>
  <si>
    <t xml:space="preserve">Jardim Oriental</t>
  </si>
  <si>
    <t xml:space="preserve">Verificar (estudantil)</t>
  </si>
  <si>
    <t xml:space="preserve">Condomínio Residencial Emerald Park</t>
  </si>
  <si>
    <t xml:space="preserve">Av. São Vicente de Paulo, 5000</t>
  </si>
  <si>
    <t xml:space="preserve">Jardim Santa Helena</t>
  </si>
  <si>
    <t xml:space="preserve">Condomínio Residencial Mirante da Bela Vista</t>
  </si>
  <si>
    <t xml:space="preserve">Rua Mogi Guaçu, 604</t>
  </si>
  <si>
    <t xml:space="preserve">Condomínio Residencial Spazio Santa Izabel</t>
  </si>
  <si>
    <t xml:space="preserve">Rua Santa Izabel, 33</t>
  </si>
  <si>
    <t xml:space="preserve">Condomínio Residencial Bela Vista</t>
  </si>
  <si>
    <t xml:space="preserve">Rua Taubaté, 1153</t>
  </si>
  <si>
    <t xml:space="preserve">Jardim Soto</t>
  </si>
  <si>
    <t xml:space="preserve">Condomínio Residencial Jardim das Flores</t>
  </si>
  <si>
    <t xml:space="preserve">Rua Cardoso, 43</t>
  </si>
  <si>
    <t xml:space="preserve">Vista Impper (em obras)</t>
  </si>
  <si>
    <t xml:space="preserve">Av. Eng. José Nelson Machado, 1659</t>
  </si>
  <si>
    <t xml:space="preserve">160 unidades e 20 pavimentos (notícia Grupo Impper). Prédio novo — síndico ainda em formação.</t>
  </si>
  <si>
    <t xml:space="preserve">Edifício Residencial Santorini</t>
  </si>
  <si>
    <t xml:space="preserve">Rua Lavínia, 150</t>
  </si>
  <si>
    <t xml:space="preserve">Jardim Vertoni</t>
  </si>
  <si>
    <t xml:space="preserve">Condomínio Residencial Varandas do Bosque</t>
  </si>
  <si>
    <t xml:space="preserve">Rua Campinas, 148</t>
  </si>
  <si>
    <t xml:space="preserve">Jardim do Bosque</t>
  </si>
  <si>
    <t xml:space="preserve">Condomínio Residencial Jardim Alvorada</t>
  </si>
  <si>
    <t xml:space="preserve">Av. Benedito Zancaner, 1219</t>
  </si>
  <si>
    <t xml:space="preserve">Jardim do Lago</t>
  </si>
  <si>
    <t xml:space="preserve">Conjunto Esportivo João Crippa</t>
  </si>
  <si>
    <t xml:space="preserve">Rua Colina, 65</t>
  </si>
  <si>
    <t xml:space="preserve">Loteamento Cerradinho</t>
  </si>
  <si>
    <t xml:space="preserve">Condomínio Residencial Paineiras</t>
  </si>
  <si>
    <t xml:space="preserve">Rua José Frias Garcia, 510</t>
  </si>
  <si>
    <t xml:space="preserve">Nações Unidas</t>
  </si>
  <si>
    <t xml:space="preserve">Condomínio Manoel Pires Barbosa</t>
  </si>
  <si>
    <t xml:space="preserve">Rua Colina, 965</t>
  </si>
  <si>
    <t xml:space="preserve">Parque Glória</t>
  </si>
  <si>
    <t xml:space="preserve">Condomínio Parque Casa de Leon</t>
  </si>
  <si>
    <t xml:space="preserve">Rua Uruguaiana, 1931</t>
  </si>
  <si>
    <t xml:space="preserve">Condomínio Edifício Gaivotas</t>
  </si>
  <si>
    <t xml:space="preserve">Rua Morro Agudo, 500</t>
  </si>
  <si>
    <t xml:space="preserve">Parque Iracema</t>
  </si>
  <si>
    <t xml:space="preserve">Condomínio Edifício Parque Iracema</t>
  </si>
  <si>
    <t xml:space="preserve">Rua Morro Agudo, 120</t>
  </si>
  <si>
    <t xml:space="preserve">Condomínio Residencial Florença</t>
  </si>
  <si>
    <t xml:space="preserve">Rua dos Estudantes, 75</t>
  </si>
  <si>
    <t xml:space="preserve">Condomínio Residencial Porto Seguro</t>
  </si>
  <si>
    <t xml:space="preserve">Rua Caputira, 495</t>
  </si>
  <si>
    <t xml:space="preserve">Parque Casa Nova</t>
  </si>
  <si>
    <t xml:space="preserve">Rua Martinho Canozo, 250</t>
  </si>
  <si>
    <t xml:space="preserve">Parque Joaquim Lopes</t>
  </si>
  <si>
    <t xml:space="preserve">Parque Casa Pienza</t>
  </si>
  <si>
    <t xml:space="preserve">Rua Doutor Cervantes Angulo, 295</t>
  </si>
  <si>
    <t xml:space="preserve">Edifício Residencial Moreschi</t>
  </si>
  <si>
    <t xml:space="preserve">Rua Ilhéus, 1078</t>
  </si>
  <si>
    <t xml:space="preserve">Residencial Moreschi</t>
  </si>
  <si>
    <t xml:space="preserve">Edifício Residencial Porto Village</t>
  </si>
  <si>
    <t xml:space="preserve">Rua Bragança Paulista, 150</t>
  </si>
  <si>
    <t xml:space="preserve">Condomínio Edifício Residencial Itaparica</t>
  </si>
  <si>
    <t xml:space="preserve">Rua Morro Agudo, 800</t>
  </si>
  <si>
    <t xml:space="preserve">San Remo</t>
  </si>
  <si>
    <t xml:space="preserve">Condomínio Edifício Residencial San Remo</t>
  </si>
  <si>
    <t xml:space="preserve">Rua Ângelo Ceneviva, 137</t>
  </si>
  <si>
    <t xml:space="preserve">Condomínio Edifício Prefeito Duarte Nogueira II</t>
  </si>
  <si>
    <t xml:space="preserve">Rua Piracicaba, 1000</t>
  </si>
  <si>
    <t xml:space="preserve">Santo Antônio</t>
  </si>
  <si>
    <t xml:space="preserve">Condomínio Edifício Residencial Andorinhas</t>
  </si>
  <si>
    <t xml:space="preserve">Rua América, 105</t>
  </si>
  <si>
    <t xml:space="preserve">São Francisco</t>
  </si>
  <si>
    <t xml:space="preserve">Condomínio Edifício Residencial Petrópolis</t>
  </si>
  <si>
    <t xml:space="preserve">Rua Petrópolis, 100</t>
  </si>
  <si>
    <t xml:space="preserve">Condomínio Edifício Residencial San Raphael</t>
  </si>
  <si>
    <t xml:space="preserve">Rua Ilhéus, 1295</t>
  </si>
  <si>
    <t xml:space="preserve">Condomínio Edifício Parque Residencial Estoril</t>
  </si>
  <si>
    <t xml:space="preserve">Rua Treze de Maio, 1900</t>
  </si>
  <si>
    <t xml:space="preserve">Vila Amêndola</t>
  </si>
  <si>
    <t xml:space="preserve">Parque Casa Pueblo</t>
  </si>
  <si>
    <t xml:space="preserve">Av. Dona Engrácia A. Romão, 771</t>
  </si>
  <si>
    <t xml:space="preserve">Vila Dona Engrácia</t>
  </si>
  <si>
    <t xml:space="preserve">Condomínio Edifício Residencial Santa Josefa</t>
  </si>
  <si>
    <t xml:space="preserve">Rua Nações Unidas, 160</t>
  </si>
  <si>
    <t xml:space="preserve">Vila Juca Pedro</t>
  </si>
  <si>
    <t xml:space="preserve">Parque Casa Bilbao</t>
  </si>
  <si>
    <t xml:space="preserve">Rua Colômbia, S/N</t>
  </si>
  <si>
    <t xml:space="preserve">Condomínio Edifício Prefeito Duarte Nogueira I</t>
  </si>
  <si>
    <t xml:space="preserve">Rua Piracicaba, 1100</t>
  </si>
  <si>
    <t xml:space="preserve">Vila Maria Jorge</t>
  </si>
  <si>
    <t xml:space="preserve">Condomínio Residencial San Paolo</t>
  </si>
  <si>
    <t xml:space="preserve">Rua São Paulo, 715</t>
  </si>
  <si>
    <t xml:space="preserve">Vila Motta</t>
  </si>
  <si>
    <t xml:space="preserve">Parque Casa de Málaga</t>
  </si>
  <si>
    <t xml:space="preserve">Rua Virgílio Mastrocola, 770</t>
  </si>
  <si>
    <t xml:space="preserve">Condomínio Residencial Félix Sahão</t>
  </si>
  <si>
    <t xml:space="preserve">Av. Benedito Zancaner, 1765</t>
  </si>
  <si>
    <t xml:space="preserve">Vila Rodrigues</t>
  </si>
  <si>
    <t xml:space="preserve">Condomínio Solar dos Ipês</t>
  </si>
  <si>
    <t xml:space="preserve">Rua Amapá, 225</t>
  </si>
  <si>
    <t xml:space="preserve">Condomínio Residencial Catuaí</t>
  </si>
  <si>
    <t xml:space="preserve">—</t>
  </si>
  <si>
    <t xml:space="preserve">Condomínio Residencial Idalina C. Kaiser</t>
  </si>
  <si>
    <t xml:space="preserve">TOTAL</t>
  </si>
  <si>
    <t xml:space="preserve">Condomínios na lista</t>
  </si>
  <si>
    <t xml:space="preserve">Já são clientes da Prestare</t>
  </si>
  <si>
    <t xml:space="preserve">Prospects (ainda não clientes)</t>
  </si>
  <si>
    <t xml:space="preserve">Com nº de unidades já confirmado</t>
  </si>
  <si>
    <t xml:space="preserve">Falta confirmar unidades em</t>
  </si>
  <si>
    <t xml:space="preserve">Potencial de MRR já calculado</t>
  </si>
  <si>
    <t xml:space="preserve">Tabela de preço por zonas</t>
  </si>
  <si>
    <t xml:space="preserve">Edite só o amarelo. Alimenta o cálculo da aba anterior.</t>
  </si>
  <si>
    <t xml:space="preserve">Limite superior</t>
  </si>
  <si>
    <t xml:space="preserve">Valor</t>
  </si>
  <si>
    <t xml:space="preserve">Compacto</t>
  </si>
  <si>
    <t xml:space="preserve">Até 30 unidades</t>
  </si>
  <si>
    <t xml:space="preserve">Padrão</t>
  </si>
  <si>
    <t xml:space="preserve">Da 31ª à 60ª</t>
  </si>
  <si>
    <t xml:space="preserve">Plus</t>
  </si>
  <si>
    <t xml:space="preserve">Da 61ª à 120ª</t>
  </si>
  <si>
    <t xml:space="preserve">Corporativo</t>
  </si>
  <si>
    <t xml:space="preserve">Acima da 120ª</t>
  </si>
  <si>
    <t xml:space="preserve">Taxa de implantação (única)</t>
  </si>
  <si>
    <t xml:space="preserve">De onde vieram estes dados e o que ainda falta</t>
  </si>
  <si>
    <t xml:space="preserve">Leia antes de sair ligando.</t>
  </si>
  <si>
    <t xml:space="preserve">O QUE ESTÁ CONFIRMADO</t>
  </si>
  <si>
    <t xml:space="preserve">Nome, endereço e bairro dos condomínios: extraídos do diretório Solutudo, categoria "Condomínios - Edifícios" de Catanduva/SP, que declara 118 empresas cadastradas nessa categoria. Foram removidas as duplicidades por endereço. O Vista Impper veio de notícia do Grupo Impper (160 unidades, 20 pavimentos).</t>
  </si>
  <si>
    <t xml:space="preserve">Confiança na lista: alta para existência do condomínio, média para grafia do nome e número do endereço, porque diretórios têm cadastro desatualizado. Confirme o endereço antes de ir até o prédio.</t>
  </si>
  <si>
    <t xml:space="preserve">O QUE NÃO ESTÁ CONFIRMADO — E POR QUÊ</t>
  </si>
  <si>
    <t xml:space="preserve">O NÚMERO DE UNIDADES não é publicado em nenhuma fonte aberta. Nem diretório, nem prefeitura, nem cartório disponibilizam isso on-line. Por isso a coluna Unidades está vazia e amarela: é o único dado que você precisa levantar, e é justamente o que define o preço.</t>
  </si>
  <si>
    <t xml:space="preserve">Três formas rápidas de conseguir: (1) Google Maps em Street View — conte os andares e as janelas por andar, dá uma estimativa boa em 30 segundos por prédio; (2) anúncios de venda do prédio costumam citar "apto X de Y"; (3) pergunte ao porteiro — leva 10 segundos e vem com o nome do síndico de brinde.</t>
  </si>
  <si>
    <t xml:space="preserve">O QUE A LISTA REVELA</t>
  </si>
  <si>
    <t xml:space="preserve">A esmagadora maioria dos verticais está no CENTRO e na HIGIENÓPOLIS. Se você tiver uma tarde, é ali que ela rende mais. Parque Iracema, São Francisco e Jardim Santa Helena vêm em seguida.</t>
  </si>
  <si>
    <t xml:space="preserve">Alguns registros são comerciais, não residenciais (Minas Center, Catanduva Shopping Center, Drogasil, Conjunto Esportivo João Crippa). Estão marcados na coluna Tipo — não descarte de imediato: prédio comercial também tem síndico, portaria e encomenda.</t>
  </si>
  <si>
    <t xml:space="preserve">Doze condomínios da lista já são seus clientes e estão marcados em verde na coluna "Já é cliente?". Damha, Ideal Life e Santa Andélia não aparecem no diretório — provavelmente porque são horizontais ou estão cadastrados com outra razão social.</t>
  </si>
  <si>
    <t xml:space="preserve">FONTES</t>
  </si>
  <si>
    <t xml:space="preserve">Solutudo — Condomínios e Edifícios em Catanduva, SP: solutudo.com.br/empresas/sp/catanduva/condominios+edificios</t>
  </si>
  <si>
    <t xml:space="preserve">Grupo Impper — Maior edifício residencial de Catanduva tem obras iniciadas: grupoimpper.com.br</t>
  </si>
  <si>
    <t xml:space="preserve">GuiaMais — Bairros de Catanduva, SP: guiamais.com.br/bairros/catanduva-sp</t>
  </si>
  <si>
    <t xml:space="preserve">Casa dos Dados — CNPJ de condomínios de Catanduva (Idalina C. Kaiser, Catuaí): casadosdados.com.br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</si>
</sst>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General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A63"/>
      <name val="Arial"/>
      <family val="0"/>
      <charset val="1"/>
    </font>
    <font>
      <i val="true"/>
      <sz val="10"/>
      <color rgb="FF5C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E7C66"/>
      <name val="Arial"/>
      <family val="0"/>
      <charset val="1"/>
    </font>
    <font>
      <b val="true"/>
      <sz val="11"/>
      <color rgb="FF0B2A63"/>
      <name val="Arial"/>
      <family val="0"/>
      <charset val="1"/>
    </font>
    <font>
      <sz val="10"/>
      <color rgb="FF5C6E8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B2A6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A6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4F5EF"/>
        <bgColor rgb="FFCCFFFF"/>
      </patternFill>
    </fill>
    <fill>
      <patternFill patternType="solid">
        <fgColor rgb="FFFFC8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C0C0C0"/>
      <rgbColor rgb="FF808080"/>
      <rgbColor rgb="FF9999FF"/>
      <rgbColor rgb="FF993366"/>
      <rgbColor rgb="FFFFFFCC"/>
      <rgbColor rgb="FFE4F5EF"/>
      <rgbColor rgb="FF660066"/>
      <rgbColor rgb="FFFF8080"/>
      <rgbColor rgb="FF0066CC"/>
      <rgbColor rgb="FFD6DE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800"/>
      <rgbColor rgb="FFFF9900"/>
      <rgbColor rgb="FFFF6600"/>
      <rgbColor rgb="FF5C6E8C"/>
      <rgbColor rgb="FF969696"/>
      <rgbColor rgb="FF0B2A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4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33.7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</row>
    <row r="7" customFormat="false" ht="15" hidden="false" customHeight="false" outlineLevel="0" collapsed="false">
      <c r="B7" s="4" t="n">
        <v>1</v>
      </c>
      <c r="C7" s="5" t="s">
        <v>16</v>
      </c>
      <c r="D7" s="5" t="s">
        <v>17</v>
      </c>
      <c r="E7" s="5" t="s">
        <v>18</v>
      </c>
      <c r="F7" s="5" t="s">
        <v>19</v>
      </c>
      <c r="G7" s="4"/>
      <c r="H7" s="6"/>
      <c r="I7" s="4" t="str">
        <f aca="false">IF(H7="","",IF(H7&lt;=Preço!$C$7,Preço!$B$7,IF(H7&lt;=Preço!$C$8,Preço!$B$8,IF(H7&lt;=Preço!$C$9,Preço!$B$9,Preço!$B$10))))</f>
        <v/>
      </c>
      <c r="J7" s="7" t="str">
        <f aca="false">IF(H7="","",Preço!$D$7+MAX(0,MIN(H7,Preço!$C$8)-Preço!$C$7)*Preço!$D$8+MAX(0,MIN(H7,Preço!$C$9)-Preço!$C$8)*Preço!$D$9+MAX(0,H7-Preço!$C$9)*Preço!$D$10)</f>
        <v/>
      </c>
      <c r="K7" s="7" t="str">
        <f aca="false">IF(H7="","",J7*12)</f>
        <v/>
      </c>
      <c r="L7" s="8"/>
      <c r="M7" s="8"/>
      <c r="N7" s="8"/>
      <c r="O7" s="8"/>
    </row>
    <row r="8" customFormat="false" ht="15" hidden="false" customHeight="false" outlineLevel="0" collapsed="false">
      <c r="B8" s="4" t="n">
        <v>2</v>
      </c>
      <c r="C8" s="5" t="s">
        <v>20</v>
      </c>
      <c r="D8" s="5" t="s">
        <v>21</v>
      </c>
      <c r="E8" s="5" t="s">
        <v>18</v>
      </c>
      <c r="F8" s="5" t="s">
        <v>19</v>
      </c>
      <c r="G8" s="4"/>
      <c r="H8" s="6"/>
      <c r="I8" s="4" t="str">
        <f aca="false">IF(H8="","",IF(H8&lt;=Preço!$C$7,Preço!$B$7,IF(H8&lt;=Preço!$C$8,Preço!$B$8,IF(H8&lt;=Preço!$C$9,Preço!$B$9,Preço!$B$10))))</f>
        <v/>
      </c>
      <c r="J8" s="7" t="str">
        <f aca="false">IF(H8="","",Preço!$D$7+MAX(0,MIN(H8,Preço!$C$8)-Preço!$C$7)*Preço!$D$8+MAX(0,MIN(H8,Preço!$C$9)-Preço!$C$8)*Preço!$D$9+MAX(0,H8-Preço!$C$9)*Preço!$D$10)</f>
        <v/>
      </c>
      <c r="K8" s="7" t="str">
        <f aca="false">IF(H8="","",J8*12)</f>
        <v/>
      </c>
      <c r="L8" s="8"/>
      <c r="M8" s="8"/>
      <c r="N8" s="8"/>
      <c r="O8" s="8"/>
    </row>
    <row r="9" customFormat="false" ht="15" hidden="false" customHeight="false" outlineLevel="0" collapsed="false">
      <c r="B9" s="4" t="n">
        <v>3</v>
      </c>
      <c r="C9" s="5" t="s">
        <v>22</v>
      </c>
      <c r="D9" s="5" t="s">
        <v>23</v>
      </c>
      <c r="E9" s="5" t="s">
        <v>18</v>
      </c>
      <c r="F9" s="5" t="s">
        <v>19</v>
      </c>
      <c r="G9" s="4"/>
      <c r="H9" s="6"/>
      <c r="I9" s="4" t="str">
        <f aca="false">IF(H9="","",IF(H9&lt;=Preço!$C$7,Preço!$B$7,IF(H9&lt;=Preço!$C$8,Preço!$B$8,IF(H9&lt;=Preço!$C$9,Preço!$B$9,Preço!$B$10))))</f>
        <v/>
      </c>
      <c r="J9" s="7" t="str">
        <f aca="false">IF(H9="","",Preço!$D$7+MAX(0,MIN(H9,Preço!$C$8)-Preço!$C$7)*Preço!$D$8+MAX(0,MIN(H9,Preço!$C$9)-Preço!$C$8)*Preço!$D$9+MAX(0,H9-Preço!$C$9)*Preço!$D$10)</f>
        <v/>
      </c>
      <c r="K9" s="7" t="str">
        <f aca="false">IF(H9="","",J9*12)</f>
        <v/>
      </c>
      <c r="L9" s="8"/>
      <c r="M9" s="8"/>
      <c r="N9" s="8"/>
      <c r="O9" s="8"/>
    </row>
    <row r="10" customFormat="false" ht="15" hidden="false" customHeight="false" outlineLevel="0" collapsed="false">
      <c r="B10" s="4" t="n">
        <v>4</v>
      </c>
      <c r="C10" s="5" t="s">
        <v>24</v>
      </c>
      <c r="D10" s="5" t="s">
        <v>25</v>
      </c>
      <c r="E10" s="5" t="s">
        <v>18</v>
      </c>
      <c r="F10" s="5" t="s">
        <v>19</v>
      </c>
      <c r="G10" s="4"/>
      <c r="H10" s="6"/>
      <c r="I10" s="4" t="str">
        <f aca="false">IF(H10="","",IF(H10&lt;=Preço!$C$7,Preço!$B$7,IF(H10&lt;=Preço!$C$8,Preço!$B$8,IF(H10&lt;=Preço!$C$9,Preço!$B$9,Preço!$B$10))))</f>
        <v/>
      </c>
      <c r="J10" s="7" t="str">
        <f aca="false">IF(H10="","",Preço!$D$7+MAX(0,MIN(H10,Preço!$C$8)-Preço!$C$7)*Preço!$D$8+MAX(0,MIN(H10,Preço!$C$9)-Preço!$C$8)*Preço!$D$9+MAX(0,H10-Preço!$C$9)*Preço!$D$10)</f>
        <v/>
      </c>
      <c r="K10" s="7" t="str">
        <f aca="false">IF(H10="","",J10*12)</f>
        <v/>
      </c>
      <c r="L10" s="8"/>
      <c r="M10" s="8"/>
      <c r="N10" s="8"/>
      <c r="O10" s="8"/>
    </row>
    <row r="11" customFormat="false" ht="15" hidden="false" customHeight="false" outlineLevel="0" collapsed="false">
      <c r="B11" s="4" t="n">
        <v>5</v>
      </c>
      <c r="C11" s="5" t="s">
        <v>26</v>
      </c>
      <c r="D11" s="5" t="s">
        <v>27</v>
      </c>
      <c r="E11" s="5" t="s">
        <v>18</v>
      </c>
      <c r="F11" s="5" t="s">
        <v>19</v>
      </c>
      <c r="G11" s="4"/>
      <c r="H11" s="6"/>
      <c r="I11" s="4" t="str">
        <f aca="false">IF(H11="","",IF(H11&lt;=Preço!$C$7,Preço!$B$7,IF(H11&lt;=Preço!$C$8,Preço!$B$8,IF(H11&lt;=Preço!$C$9,Preço!$B$9,Preço!$B$10))))</f>
        <v/>
      </c>
      <c r="J11" s="7" t="str">
        <f aca="false">IF(H11="","",Preço!$D$7+MAX(0,MIN(H11,Preço!$C$8)-Preço!$C$7)*Preço!$D$8+MAX(0,MIN(H11,Preço!$C$9)-Preço!$C$8)*Preço!$D$9+MAX(0,H11-Preço!$C$9)*Preço!$D$10)</f>
        <v/>
      </c>
      <c r="K11" s="7" t="str">
        <f aca="false">IF(H11="","",J11*12)</f>
        <v/>
      </c>
      <c r="L11" s="8"/>
      <c r="M11" s="8"/>
      <c r="N11" s="8"/>
      <c r="O11" s="8"/>
    </row>
    <row r="12" customFormat="false" ht="15" hidden="false" customHeight="false" outlineLevel="0" collapsed="false">
      <c r="B12" s="4" t="n">
        <v>6</v>
      </c>
      <c r="C12" s="5" t="s">
        <v>28</v>
      </c>
      <c r="D12" s="5" t="s">
        <v>29</v>
      </c>
      <c r="E12" s="5" t="s">
        <v>18</v>
      </c>
      <c r="F12" s="5" t="s">
        <v>19</v>
      </c>
      <c r="G12" s="4"/>
      <c r="H12" s="6"/>
      <c r="I12" s="4" t="str">
        <f aca="false">IF(H12="","",IF(H12&lt;=Preço!$C$7,Preço!$B$7,IF(H12&lt;=Preço!$C$8,Preço!$B$8,IF(H12&lt;=Preço!$C$9,Preço!$B$9,Preço!$B$10))))</f>
        <v/>
      </c>
      <c r="J12" s="7" t="str">
        <f aca="false">IF(H12="","",Preço!$D$7+MAX(0,MIN(H12,Preço!$C$8)-Preço!$C$7)*Preço!$D$8+MAX(0,MIN(H12,Preço!$C$9)-Preço!$C$8)*Preço!$D$9+MAX(0,H12-Preço!$C$9)*Preço!$D$10)</f>
        <v/>
      </c>
      <c r="K12" s="7" t="str">
        <f aca="false">IF(H12="","",J12*12)</f>
        <v/>
      </c>
      <c r="L12" s="8"/>
      <c r="M12" s="8"/>
      <c r="N12" s="8"/>
      <c r="O12" s="8"/>
    </row>
    <row r="13" customFormat="false" ht="15" hidden="false" customHeight="false" outlineLevel="0" collapsed="false">
      <c r="B13" s="4" t="n">
        <v>7</v>
      </c>
      <c r="C13" s="5" t="s">
        <v>30</v>
      </c>
      <c r="D13" s="5" t="s">
        <v>31</v>
      </c>
      <c r="E13" s="5" t="s">
        <v>18</v>
      </c>
      <c r="F13" s="5" t="s">
        <v>32</v>
      </c>
      <c r="G13" s="4"/>
      <c r="H13" s="6"/>
      <c r="I13" s="4" t="str">
        <f aca="false">IF(H13="","",IF(H13&lt;=Preço!$C$7,Preço!$B$7,IF(H13&lt;=Preço!$C$8,Preço!$B$8,IF(H13&lt;=Preço!$C$9,Preço!$B$9,Preço!$B$10))))</f>
        <v/>
      </c>
      <c r="J13" s="7" t="str">
        <f aca="false">IF(H13="","",Preço!$D$7+MAX(0,MIN(H13,Preço!$C$8)-Preço!$C$7)*Preço!$D$8+MAX(0,MIN(H13,Preço!$C$9)-Preço!$C$8)*Preço!$D$9+MAX(0,H13-Preço!$C$9)*Preço!$D$10)</f>
        <v/>
      </c>
      <c r="K13" s="7" t="str">
        <f aca="false">IF(H13="","",J13*12)</f>
        <v/>
      </c>
      <c r="L13" s="8"/>
      <c r="M13" s="8"/>
      <c r="N13" s="8"/>
      <c r="O13" s="8"/>
    </row>
    <row r="14" customFormat="false" ht="15" hidden="false" customHeight="false" outlineLevel="0" collapsed="false">
      <c r="B14" s="4" t="n">
        <v>8</v>
      </c>
      <c r="C14" s="5" t="s">
        <v>33</v>
      </c>
      <c r="D14" s="5" t="s">
        <v>34</v>
      </c>
      <c r="E14" s="5" t="s">
        <v>18</v>
      </c>
      <c r="F14" s="5" t="s">
        <v>32</v>
      </c>
      <c r="G14" s="4"/>
      <c r="H14" s="6"/>
      <c r="I14" s="4" t="str">
        <f aca="false">IF(H14="","",IF(H14&lt;=Preço!$C$7,Preço!$B$7,IF(H14&lt;=Preço!$C$8,Preço!$B$8,IF(H14&lt;=Preço!$C$9,Preço!$B$9,Preço!$B$10))))</f>
        <v/>
      </c>
      <c r="J14" s="7" t="str">
        <f aca="false">IF(H14="","",Preço!$D$7+MAX(0,MIN(H14,Preço!$C$8)-Preço!$C$7)*Preço!$D$8+MAX(0,MIN(H14,Preço!$C$9)-Preço!$C$8)*Preço!$D$9+MAX(0,H14-Preço!$C$9)*Preço!$D$10)</f>
        <v/>
      </c>
      <c r="K14" s="7" t="str">
        <f aca="false">IF(H14="","",J14*12)</f>
        <v/>
      </c>
      <c r="L14" s="8"/>
      <c r="M14" s="8"/>
      <c r="N14" s="8"/>
      <c r="O14" s="8"/>
    </row>
    <row r="15" customFormat="false" ht="15" hidden="false" customHeight="false" outlineLevel="0" collapsed="false">
      <c r="B15" s="4" t="n">
        <v>9</v>
      </c>
      <c r="C15" s="5" t="s">
        <v>35</v>
      </c>
      <c r="D15" s="5" t="s">
        <v>36</v>
      </c>
      <c r="E15" s="5" t="s">
        <v>18</v>
      </c>
      <c r="F15" s="5" t="s">
        <v>19</v>
      </c>
      <c r="G15" s="4"/>
      <c r="H15" s="6"/>
      <c r="I15" s="4" t="str">
        <f aca="false">IF(H15="","",IF(H15&lt;=Preço!$C$7,Preço!$B$7,IF(H15&lt;=Preço!$C$8,Preço!$B$8,IF(H15&lt;=Preço!$C$9,Preço!$B$9,Preço!$B$10))))</f>
        <v/>
      </c>
      <c r="J15" s="7" t="str">
        <f aca="false">IF(H15="","",Preço!$D$7+MAX(0,MIN(H15,Preço!$C$8)-Preço!$C$7)*Preço!$D$8+MAX(0,MIN(H15,Preço!$C$9)-Preço!$C$8)*Preço!$D$9+MAX(0,H15-Preço!$C$9)*Preço!$D$10)</f>
        <v/>
      </c>
      <c r="K15" s="7" t="str">
        <f aca="false">IF(H15="","",J15*12)</f>
        <v/>
      </c>
      <c r="L15" s="8"/>
      <c r="M15" s="8"/>
      <c r="N15" s="8"/>
      <c r="O15" s="8"/>
    </row>
    <row r="16" customFormat="false" ht="15" hidden="false" customHeight="false" outlineLevel="0" collapsed="false">
      <c r="B16" s="4" t="n">
        <v>10</v>
      </c>
      <c r="C16" s="5" t="s">
        <v>37</v>
      </c>
      <c r="D16" s="5" t="s">
        <v>38</v>
      </c>
      <c r="E16" s="5" t="s">
        <v>18</v>
      </c>
      <c r="F16" s="5" t="s">
        <v>32</v>
      </c>
      <c r="G16" s="4"/>
      <c r="H16" s="6"/>
      <c r="I16" s="4" t="str">
        <f aca="false">IF(H16="","",IF(H16&lt;=Preço!$C$7,Preço!$B$7,IF(H16&lt;=Preço!$C$8,Preço!$B$8,IF(H16&lt;=Preço!$C$9,Preço!$B$9,Preço!$B$10))))</f>
        <v/>
      </c>
      <c r="J16" s="7" t="str">
        <f aca="false">IF(H16="","",Preço!$D$7+MAX(0,MIN(H16,Preço!$C$8)-Preço!$C$7)*Preço!$D$8+MAX(0,MIN(H16,Preço!$C$9)-Preço!$C$8)*Preço!$D$9+MAX(0,H16-Preço!$C$9)*Preço!$D$10)</f>
        <v/>
      </c>
      <c r="K16" s="7" t="str">
        <f aca="false">IF(H16="","",J16*12)</f>
        <v/>
      </c>
      <c r="L16" s="8"/>
      <c r="M16" s="8"/>
      <c r="N16" s="8"/>
      <c r="O16" s="8"/>
    </row>
    <row r="17" customFormat="false" ht="15" hidden="false" customHeight="false" outlineLevel="0" collapsed="false">
      <c r="B17" s="4" t="n">
        <v>11</v>
      </c>
      <c r="C17" s="5" t="s">
        <v>39</v>
      </c>
      <c r="D17" s="5" t="s">
        <v>40</v>
      </c>
      <c r="E17" s="5" t="s">
        <v>18</v>
      </c>
      <c r="F17" s="5" t="s">
        <v>19</v>
      </c>
      <c r="G17" s="4"/>
      <c r="H17" s="6"/>
      <c r="I17" s="4" t="str">
        <f aca="false">IF(H17="","",IF(H17&lt;=Preço!$C$7,Preço!$B$7,IF(H17&lt;=Preço!$C$8,Preço!$B$8,IF(H17&lt;=Preço!$C$9,Preço!$B$9,Preço!$B$10))))</f>
        <v/>
      </c>
      <c r="J17" s="7" t="str">
        <f aca="false">IF(H17="","",Preço!$D$7+MAX(0,MIN(H17,Preço!$C$8)-Preço!$C$7)*Preço!$D$8+MAX(0,MIN(H17,Preço!$C$9)-Preço!$C$8)*Preço!$D$9+MAX(0,H17-Preço!$C$9)*Preço!$D$10)</f>
        <v/>
      </c>
      <c r="K17" s="7" t="str">
        <f aca="false">IF(H17="","",J17*12)</f>
        <v/>
      </c>
      <c r="L17" s="8"/>
      <c r="M17" s="8"/>
      <c r="N17" s="8"/>
      <c r="O17" s="8"/>
    </row>
    <row r="18" customFormat="false" ht="15" hidden="false" customHeight="false" outlineLevel="0" collapsed="false">
      <c r="B18" s="4" t="n">
        <v>12</v>
      </c>
      <c r="C18" s="5" t="s">
        <v>41</v>
      </c>
      <c r="D18" s="5" t="s">
        <v>42</v>
      </c>
      <c r="E18" s="5" t="s">
        <v>18</v>
      </c>
      <c r="F18" s="5" t="s">
        <v>32</v>
      </c>
      <c r="G18" s="4"/>
      <c r="H18" s="6"/>
      <c r="I18" s="4" t="str">
        <f aca="false">IF(H18="","",IF(H18&lt;=Preço!$C$7,Preço!$B$7,IF(H18&lt;=Preço!$C$8,Preço!$B$8,IF(H18&lt;=Preço!$C$9,Preço!$B$9,Preço!$B$10))))</f>
        <v/>
      </c>
      <c r="J18" s="7" t="str">
        <f aca="false">IF(H18="","",Preço!$D$7+MAX(0,MIN(H18,Preço!$C$8)-Preço!$C$7)*Preço!$D$8+MAX(0,MIN(H18,Preço!$C$9)-Preço!$C$8)*Preço!$D$9+MAX(0,H18-Preço!$C$9)*Preço!$D$10)</f>
        <v/>
      </c>
      <c r="K18" s="7" t="str">
        <f aca="false">IF(H18="","",J18*12)</f>
        <v/>
      </c>
      <c r="L18" s="8"/>
      <c r="M18" s="8"/>
      <c r="N18" s="8"/>
      <c r="O18" s="8"/>
    </row>
    <row r="19" customFormat="false" ht="15" hidden="false" customHeight="false" outlineLevel="0" collapsed="false">
      <c r="B19" s="4" t="n">
        <v>13</v>
      </c>
      <c r="C19" s="5" t="s">
        <v>43</v>
      </c>
      <c r="D19" s="5" t="s">
        <v>44</v>
      </c>
      <c r="E19" s="5" t="s">
        <v>18</v>
      </c>
      <c r="F19" s="5" t="s">
        <v>19</v>
      </c>
      <c r="G19" s="4"/>
      <c r="H19" s="6"/>
      <c r="I19" s="4" t="str">
        <f aca="false">IF(H19="","",IF(H19&lt;=Preço!$C$7,Preço!$B$7,IF(H19&lt;=Preço!$C$8,Preço!$B$8,IF(H19&lt;=Preço!$C$9,Preço!$B$9,Preço!$B$10))))</f>
        <v/>
      </c>
      <c r="J19" s="7" t="str">
        <f aca="false">IF(H19="","",Preço!$D$7+MAX(0,MIN(H19,Preço!$C$8)-Preço!$C$7)*Preço!$D$8+MAX(0,MIN(H19,Preço!$C$9)-Preço!$C$8)*Preço!$D$9+MAX(0,H19-Preço!$C$9)*Preço!$D$10)</f>
        <v/>
      </c>
      <c r="K19" s="7" t="str">
        <f aca="false">IF(H19="","",J19*12)</f>
        <v/>
      </c>
      <c r="L19" s="8"/>
      <c r="M19" s="8"/>
      <c r="N19" s="8"/>
      <c r="O19" s="8"/>
    </row>
    <row r="20" customFormat="false" ht="15" hidden="false" customHeight="false" outlineLevel="0" collapsed="false">
      <c r="B20" s="4" t="n">
        <v>14</v>
      </c>
      <c r="C20" s="5" t="s">
        <v>45</v>
      </c>
      <c r="D20" s="5" t="s">
        <v>46</v>
      </c>
      <c r="E20" s="5" t="s">
        <v>18</v>
      </c>
      <c r="F20" s="5" t="s">
        <v>19</v>
      </c>
      <c r="G20" s="4"/>
      <c r="H20" s="6"/>
      <c r="I20" s="4" t="str">
        <f aca="false">IF(H20="","",IF(H20&lt;=Preço!$C$7,Preço!$B$7,IF(H20&lt;=Preço!$C$8,Preço!$B$8,IF(H20&lt;=Preço!$C$9,Preço!$B$9,Preço!$B$10))))</f>
        <v/>
      </c>
      <c r="J20" s="7" t="str">
        <f aca="false">IF(H20="","",Preço!$D$7+MAX(0,MIN(H20,Preço!$C$8)-Preço!$C$7)*Preço!$D$8+MAX(0,MIN(H20,Preço!$C$9)-Preço!$C$8)*Preço!$D$9+MAX(0,H20-Preço!$C$9)*Preço!$D$10)</f>
        <v/>
      </c>
      <c r="K20" s="7" t="str">
        <f aca="false">IF(H20="","",J20*12)</f>
        <v/>
      </c>
      <c r="L20" s="8"/>
      <c r="M20" s="8"/>
      <c r="N20" s="8"/>
      <c r="O20" s="8"/>
    </row>
    <row r="21" customFormat="false" ht="15" hidden="false" customHeight="false" outlineLevel="0" collapsed="false">
      <c r="B21" s="4" t="n">
        <v>15</v>
      </c>
      <c r="C21" s="5" t="s">
        <v>47</v>
      </c>
      <c r="D21" s="5" t="s">
        <v>48</v>
      </c>
      <c r="E21" s="5" t="s">
        <v>18</v>
      </c>
      <c r="F21" s="5" t="s">
        <v>19</v>
      </c>
      <c r="G21" s="4"/>
      <c r="H21" s="6"/>
      <c r="I21" s="4" t="str">
        <f aca="false">IF(H21="","",IF(H21&lt;=Preço!$C$7,Preço!$B$7,IF(H21&lt;=Preço!$C$8,Preço!$B$8,IF(H21&lt;=Preço!$C$9,Preço!$B$9,Preço!$B$10))))</f>
        <v/>
      </c>
      <c r="J21" s="7" t="str">
        <f aca="false">IF(H21="","",Preço!$D$7+MAX(0,MIN(H21,Preço!$C$8)-Preço!$C$7)*Preço!$D$8+MAX(0,MIN(H21,Preço!$C$9)-Preço!$C$8)*Preço!$D$9+MAX(0,H21-Preço!$C$9)*Preço!$D$10)</f>
        <v/>
      </c>
      <c r="K21" s="7" t="str">
        <f aca="false">IF(H21="","",J21*12)</f>
        <v/>
      </c>
      <c r="L21" s="8"/>
      <c r="M21" s="8"/>
      <c r="N21" s="8"/>
      <c r="O21" s="8"/>
    </row>
    <row r="22" customFormat="false" ht="15" hidden="false" customHeight="false" outlineLevel="0" collapsed="false">
      <c r="B22" s="4" t="n">
        <v>16</v>
      </c>
      <c r="C22" s="5" t="s">
        <v>49</v>
      </c>
      <c r="D22" s="5" t="s">
        <v>50</v>
      </c>
      <c r="E22" s="5" t="s">
        <v>18</v>
      </c>
      <c r="F22" s="5" t="s">
        <v>19</v>
      </c>
      <c r="G22" s="4"/>
      <c r="H22" s="6"/>
      <c r="I22" s="4" t="str">
        <f aca="false">IF(H22="","",IF(H22&lt;=Preço!$C$7,Preço!$B$7,IF(H22&lt;=Preço!$C$8,Preço!$B$8,IF(H22&lt;=Preço!$C$9,Preço!$B$9,Preço!$B$10))))</f>
        <v/>
      </c>
      <c r="J22" s="7" t="str">
        <f aca="false">IF(H22="","",Preço!$D$7+MAX(0,MIN(H22,Preço!$C$8)-Preço!$C$7)*Preço!$D$8+MAX(0,MIN(H22,Preço!$C$9)-Preço!$C$8)*Preço!$D$9+MAX(0,H22-Preço!$C$9)*Preço!$D$10)</f>
        <v/>
      </c>
      <c r="K22" s="7" t="str">
        <f aca="false">IF(H22="","",J22*12)</f>
        <v/>
      </c>
      <c r="L22" s="8"/>
      <c r="M22" s="8"/>
      <c r="N22" s="8"/>
      <c r="O22" s="8"/>
    </row>
    <row r="23" customFormat="false" ht="15" hidden="false" customHeight="false" outlineLevel="0" collapsed="false">
      <c r="B23" s="9" t="n">
        <v>17</v>
      </c>
      <c r="C23" s="10" t="s">
        <v>51</v>
      </c>
      <c r="D23" s="10" t="s">
        <v>52</v>
      </c>
      <c r="E23" s="10" t="s">
        <v>18</v>
      </c>
      <c r="F23" s="10" t="s">
        <v>19</v>
      </c>
      <c r="G23" s="11" t="s">
        <v>53</v>
      </c>
      <c r="H23" s="6"/>
      <c r="I23" s="9" t="str">
        <f aca="false">IF(H23="","",IF(H23&lt;=Preço!$C$7,Preço!$B$7,IF(H23&lt;=Preço!$C$8,Preço!$B$8,IF(H23&lt;=Preço!$C$9,Preço!$B$9,Preço!$B$10))))</f>
        <v/>
      </c>
      <c r="J23" s="12" t="str">
        <f aca="false">IF(H23="","",Preço!$D$7+MAX(0,MIN(H23,Preço!$C$8)-Preço!$C$7)*Preço!$D$8+MAX(0,MIN(H23,Preço!$C$9)-Preço!$C$8)*Preço!$D$9+MAX(0,H23-Preço!$C$9)*Preço!$D$10)</f>
        <v/>
      </c>
      <c r="K23" s="12" t="str">
        <f aca="false">IF(H23="","",J23*12)</f>
        <v/>
      </c>
      <c r="L23" s="8"/>
      <c r="M23" s="8"/>
      <c r="N23" s="8"/>
      <c r="O23" s="8"/>
    </row>
    <row r="24" customFormat="false" ht="15" hidden="false" customHeight="false" outlineLevel="0" collapsed="false">
      <c r="B24" s="4" t="n">
        <v>18</v>
      </c>
      <c r="C24" s="5" t="s">
        <v>54</v>
      </c>
      <c r="D24" s="5" t="s">
        <v>55</v>
      </c>
      <c r="E24" s="5" t="s">
        <v>18</v>
      </c>
      <c r="F24" s="5" t="s">
        <v>19</v>
      </c>
      <c r="G24" s="4"/>
      <c r="H24" s="6"/>
      <c r="I24" s="4" t="str">
        <f aca="false">IF(H24="","",IF(H24&lt;=Preço!$C$7,Preço!$B$7,IF(H24&lt;=Preço!$C$8,Preço!$B$8,IF(H24&lt;=Preço!$C$9,Preço!$B$9,Preço!$B$10))))</f>
        <v/>
      </c>
      <c r="J24" s="7" t="str">
        <f aca="false">IF(H24="","",Preço!$D$7+MAX(0,MIN(H24,Preço!$C$8)-Preço!$C$7)*Preço!$D$8+MAX(0,MIN(H24,Preço!$C$9)-Preço!$C$8)*Preço!$D$9+MAX(0,H24-Preço!$C$9)*Preço!$D$10)</f>
        <v/>
      </c>
      <c r="K24" s="7" t="str">
        <f aca="false">IF(H24="","",J24*12)</f>
        <v/>
      </c>
      <c r="L24" s="8"/>
      <c r="M24" s="8"/>
      <c r="N24" s="8"/>
      <c r="O24" s="8"/>
    </row>
    <row r="25" customFormat="false" ht="15" hidden="false" customHeight="false" outlineLevel="0" collapsed="false">
      <c r="B25" s="4" t="n">
        <v>19</v>
      </c>
      <c r="C25" s="5" t="s">
        <v>56</v>
      </c>
      <c r="D25" s="5" t="s">
        <v>57</v>
      </c>
      <c r="E25" s="5" t="s">
        <v>18</v>
      </c>
      <c r="F25" s="5" t="s">
        <v>19</v>
      </c>
      <c r="G25" s="4"/>
      <c r="H25" s="6"/>
      <c r="I25" s="4" t="str">
        <f aca="false">IF(H25="","",IF(H25&lt;=Preço!$C$7,Preço!$B$7,IF(H25&lt;=Preço!$C$8,Preço!$B$8,IF(H25&lt;=Preço!$C$9,Preço!$B$9,Preço!$B$10))))</f>
        <v/>
      </c>
      <c r="J25" s="7" t="str">
        <f aca="false">IF(H25="","",Preço!$D$7+MAX(0,MIN(H25,Preço!$C$8)-Preço!$C$7)*Preço!$D$8+MAX(0,MIN(H25,Preço!$C$9)-Preço!$C$8)*Preço!$D$9+MAX(0,H25-Preço!$C$9)*Preço!$D$10)</f>
        <v/>
      </c>
      <c r="K25" s="7" t="str">
        <f aca="false">IF(H25="","",J25*12)</f>
        <v/>
      </c>
      <c r="L25" s="8"/>
      <c r="M25" s="8"/>
      <c r="N25" s="8"/>
      <c r="O25" s="8"/>
    </row>
    <row r="26" customFormat="false" ht="15" hidden="false" customHeight="false" outlineLevel="0" collapsed="false">
      <c r="B26" s="4" t="n">
        <v>20</v>
      </c>
      <c r="C26" s="5" t="s">
        <v>58</v>
      </c>
      <c r="D26" s="5" t="s">
        <v>59</v>
      </c>
      <c r="E26" s="5" t="s">
        <v>18</v>
      </c>
      <c r="F26" s="5" t="s">
        <v>19</v>
      </c>
      <c r="G26" s="4"/>
      <c r="H26" s="6"/>
      <c r="I26" s="4" t="str">
        <f aca="false">IF(H26="","",IF(H26&lt;=Preço!$C$7,Preço!$B$7,IF(H26&lt;=Preço!$C$8,Preço!$B$8,IF(H26&lt;=Preço!$C$9,Preço!$B$9,Preço!$B$10))))</f>
        <v/>
      </c>
      <c r="J26" s="7" t="str">
        <f aca="false">IF(H26="","",Preço!$D$7+MAX(0,MIN(H26,Preço!$C$8)-Preço!$C$7)*Preço!$D$8+MAX(0,MIN(H26,Preço!$C$9)-Preço!$C$8)*Preço!$D$9+MAX(0,H26-Preço!$C$9)*Preço!$D$10)</f>
        <v/>
      </c>
      <c r="K26" s="7" t="str">
        <f aca="false">IF(H26="","",J26*12)</f>
        <v/>
      </c>
      <c r="L26" s="8"/>
      <c r="M26" s="8"/>
      <c r="N26" s="8"/>
      <c r="O26" s="8"/>
    </row>
    <row r="27" customFormat="false" ht="15" hidden="false" customHeight="false" outlineLevel="0" collapsed="false">
      <c r="B27" s="4" t="n">
        <v>21</v>
      </c>
      <c r="C27" s="5" t="s">
        <v>60</v>
      </c>
      <c r="D27" s="5" t="s">
        <v>61</v>
      </c>
      <c r="E27" s="5" t="s">
        <v>18</v>
      </c>
      <c r="F27" s="5" t="s">
        <v>19</v>
      </c>
      <c r="G27" s="4"/>
      <c r="H27" s="6"/>
      <c r="I27" s="4" t="str">
        <f aca="false">IF(H27="","",IF(H27&lt;=Preço!$C$7,Preço!$B$7,IF(H27&lt;=Preço!$C$8,Preço!$B$8,IF(H27&lt;=Preço!$C$9,Preço!$B$9,Preço!$B$10))))</f>
        <v/>
      </c>
      <c r="J27" s="7" t="str">
        <f aca="false">IF(H27="","",Preço!$D$7+MAX(0,MIN(H27,Preço!$C$8)-Preço!$C$7)*Preço!$D$8+MAX(0,MIN(H27,Preço!$C$9)-Preço!$C$8)*Preço!$D$9+MAX(0,H27-Preço!$C$9)*Preço!$D$10)</f>
        <v/>
      </c>
      <c r="K27" s="7" t="str">
        <f aca="false">IF(H27="","",J27*12)</f>
        <v/>
      </c>
      <c r="L27" s="8"/>
      <c r="M27" s="8"/>
      <c r="N27" s="8"/>
      <c r="O27" s="8"/>
    </row>
    <row r="28" customFormat="false" ht="15" hidden="false" customHeight="false" outlineLevel="0" collapsed="false">
      <c r="B28" s="4" t="n">
        <v>22</v>
      </c>
      <c r="C28" s="5" t="s">
        <v>62</v>
      </c>
      <c r="D28" s="5" t="s">
        <v>63</v>
      </c>
      <c r="E28" s="5" t="s">
        <v>18</v>
      </c>
      <c r="F28" s="5" t="s">
        <v>19</v>
      </c>
      <c r="G28" s="4"/>
      <c r="H28" s="6"/>
      <c r="I28" s="4" t="str">
        <f aca="false">IF(H28="","",IF(H28&lt;=Preço!$C$7,Preço!$B$7,IF(H28&lt;=Preço!$C$8,Preço!$B$8,IF(H28&lt;=Preço!$C$9,Preço!$B$9,Preço!$B$10))))</f>
        <v/>
      </c>
      <c r="J28" s="7" t="str">
        <f aca="false">IF(H28="","",Preço!$D$7+MAX(0,MIN(H28,Preço!$C$8)-Preço!$C$7)*Preço!$D$8+MAX(0,MIN(H28,Preço!$C$9)-Preço!$C$8)*Preço!$D$9+MAX(0,H28-Preço!$C$9)*Preço!$D$10)</f>
        <v/>
      </c>
      <c r="K28" s="7" t="str">
        <f aca="false">IF(H28="","",J28*12)</f>
        <v/>
      </c>
      <c r="L28" s="8"/>
      <c r="M28" s="8"/>
      <c r="N28" s="8"/>
      <c r="O28" s="8"/>
    </row>
    <row r="29" customFormat="false" ht="15" hidden="false" customHeight="false" outlineLevel="0" collapsed="false">
      <c r="B29" s="4" t="n">
        <v>23</v>
      </c>
      <c r="C29" s="5" t="s">
        <v>64</v>
      </c>
      <c r="D29" s="5" t="s">
        <v>65</v>
      </c>
      <c r="E29" s="5" t="s">
        <v>18</v>
      </c>
      <c r="F29" s="5" t="s">
        <v>19</v>
      </c>
      <c r="G29" s="4"/>
      <c r="H29" s="6"/>
      <c r="I29" s="4" t="str">
        <f aca="false">IF(H29="","",IF(H29&lt;=Preço!$C$7,Preço!$B$7,IF(H29&lt;=Preço!$C$8,Preço!$B$8,IF(H29&lt;=Preço!$C$9,Preço!$B$9,Preço!$B$10))))</f>
        <v/>
      </c>
      <c r="J29" s="7" t="str">
        <f aca="false">IF(H29="","",Preço!$D$7+MAX(0,MIN(H29,Preço!$C$8)-Preço!$C$7)*Preço!$D$8+MAX(0,MIN(H29,Preço!$C$9)-Preço!$C$8)*Preço!$D$9+MAX(0,H29-Preço!$C$9)*Preço!$D$10)</f>
        <v/>
      </c>
      <c r="K29" s="7" t="str">
        <f aca="false">IF(H29="","",J29*12)</f>
        <v/>
      </c>
      <c r="L29" s="8"/>
      <c r="M29" s="8"/>
      <c r="N29" s="8"/>
      <c r="O29" s="8"/>
    </row>
    <row r="30" customFormat="false" ht="15" hidden="false" customHeight="false" outlineLevel="0" collapsed="false">
      <c r="B30" s="4" t="n">
        <v>24</v>
      </c>
      <c r="C30" s="5" t="s">
        <v>66</v>
      </c>
      <c r="D30" s="5" t="s">
        <v>67</v>
      </c>
      <c r="E30" s="5" t="s">
        <v>18</v>
      </c>
      <c r="F30" s="5" t="s">
        <v>19</v>
      </c>
      <c r="G30" s="4"/>
      <c r="H30" s="6"/>
      <c r="I30" s="4" t="str">
        <f aca="false">IF(H30="","",IF(H30&lt;=Preço!$C$7,Preço!$B$7,IF(H30&lt;=Preço!$C$8,Preço!$B$8,IF(H30&lt;=Preço!$C$9,Preço!$B$9,Preço!$B$10))))</f>
        <v/>
      </c>
      <c r="J30" s="7" t="str">
        <f aca="false">IF(H30="","",Preço!$D$7+MAX(0,MIN(H30,Preço!$C$8)-Preço!$C$7)*Preço!$D$8+MAX(0,MIN(H30,Preço!$C$9)-Preço!$C$8)*Preço!$D$9+MAX(0,H30-Preço!$C$9)*Preço!$D$10)</f>
        <v/>
      </c>
      <c r="K30" s="7" t="str">
        <f aca="false">IF(H30="","",J30*12)</f>
        <v/>
      </c>
      <c r="L30" s="8"/>
      <c r="M30" s="8"/>
      <c r="N30" s="8"/>
      <c r="O30" s="8"/>
    </row>
    <row r="31" customFormat="false" ht="15" hidden="false" customHeight="false" outlineLevel="0" collapsed="false">
      <c r="B31" s="4" t="n">
        <v>25</v>
      </c>
      <c r="C31" s="5" t="s">
        <v>68</v>
      </c>
      <c r="D31" s="5" t="s">
        <v>69</v>
      </c>
      <c r="E31" s="5" t="s">
        <v>18</v>
      </c>
      <c r="F31" s="5" t="s">
        <v>19</v>
      </c>
      <c r="G31" s="4"/>
      <c r="H31" s="6"/>
      <c r="I31" s="4" t="str">
        <f aca="false">IF(H31="","",IF(H31&lt;=Preço!$C$7,Preço!$B$7,IF(H31&lt;=Preço!$C$8,Preço!$B$8,IF(H31&lt;=Preço!$C$9,Preço!$B$9,Preço!$B$10))))</f>
        <v/>
      </c>
      <c r="J31" s="7" t="str">
        <f aca="false">IF(H31="","",Preço!$D$7+MAX(0,MIN(H31,Preço!$C$8)-Preço!$C$7)*Preço!$D$8+MAX(0,MIN(H31,Preço!$C$9)-Preço!$C$8)*Preço!$D$9+MAX(0,H31-Preço!$C$9)*Preço!$D$10)</f>
        <v/>
      </c>
      <c r="K31" s="7" t="str">
        <f aca="false">IF(H31="","",J31*12)</f>
        <v/>
      </c>
      <c r="L31" s="8"/>
      <c r="M31" s="8"/>
      <c r="N31" s="8"/>
      <c r="O31" s="8"/>
    </row>
    <row r="32" customFormat="false" ht="15" hidden="false" customHeight="false" outlineLevel="0" collapsed="false">
      <c r="B32" s="4" t="n">
        <v>26</v>
      </c>
      <c r="C32" s="5" t="s">
        <v>70</v>
      </c>
      <c r="D32" s="5" t="s">
        <v>71</v>
      </c>
      <c r="E32" s="5" t="s">
        <v>18</v>
      </c>
      <c r="F32" s="5" t="s">
        <v>19</v>
      </c>
      <c r="G32" s="4"/>
      <c r="H32" s="6"/>
      <c r="I32" s="4" t="str">
        <f aca="false">IF(H32="","",IF(H32&lt;=Preço!$C$7,Preço!$B$7,IF(H32&lt;=Preço!$C$8,Preço!$B$8,IF(H32&lt;=Preço!$C$9,Preço!$B$9,Preço!$B$10))))</f>
        <v/>
      </c>
      <c r="J32" s="7" t="str">
        <f aca="false">IF(H32="","",Preço!$D$7+MAX(0,MIN(H32,Preço!$C$8)-Preço!$C$7)*Preço!$D$8+MAX(0,MIN(H32,Preço!$C$9)-Preço!$C$8)*Preço!$D$9+MAX(0,H32-Preço!$C$9)*Preço!$D$10)</f>
        <v/>
      </c>
      <c r="K32" s="7" t="str">
        <f aca="false">IF(H32="","",J32*12)</f>
        <v/>
      </c>
      <c r="L32" s="8"/>
      <c r="M32" s="8"/>
      <c r="N32" s="8"/>
      <c r="O32" s="8"/>
    </row>
    <row r="33" customFormat="false" ht="15" hidden="false" customHeight="false" outlineLevel="0" collapsed="false">
      <c r="B33" s="4" t="n">
        <v>27</v>
      </c>
      <c r="C33" s="5" t="s">
        <v>72</v>
      </c>
      <c r="D33" s="5" t="s">
        <v>73</v>
      </c>
      <c r="E33" s="5" t="s">
        <v>18</v>
      </c>
      <c r="F33" s="5" t="s">
        <v>19</v>
      </c>
      <c r="G33" s="4"/>
      <c r="H33" s="6"/>
      <c r="I33" s="4" t="str">
        <f aca="false">IF(H33="","",IF(H33&lt;=Preço!$C$7,Preço!$B$7,IF(H33&lt;=Preço!$C$8,Preço!$B$8,IF(H33&lt;=Preço!$C$9,Preço!$B$9,Preço!$B$10))))</f>
        <v/>
      </c>
      <c r="J33" s="7" t="str">
        <f aca="false">IF(H33="","",Preço!$D$7+MAX(0,MIN(H33,Preço!$C$8)-Preço!$C$7)*Preço!$D$8+MAX(0,MIN(H33,Preço!$C$9)-Preço!$C$8)*Preço!$D$9+MAX(0,H33-Preço!$C$9)*Preço!$D$10)</f>
        <v/>
      </c>
      <c r="K33" s="7" t="str">
        <f aca="false">IF(H33="","",J33*12)</f>
        <v/>
      </c>
      <c r="L33" s="8"/>
      <c r="M33" s="8"/>
      <c r="N33" s="8"/>
      <c r="O33" s="8"/>
    </row>
    <row r="34" customFormat="false" ht="15" hidden="false" customHeight="false" outlineLevel="0" collapsed="false">
      <c r="B34" s="4" t="n">
        <v>28</v>
      </c>
      <c r="C34" s="5" t="s">
        <v>74</v>
      </c>
      <c r="D34" s="5" t="s">
        <v>75</v>
      </c>
      <c r="E34" s="5" t="s">
        <v>18</v>
      </c>
      <c r="F34" s="5" t="s">
        <v>19</v>
      </c>
      <c r="G34" s="4"/>
      <c r="H34" s="6"/>
      <c r="I34" s="4" t="str">
        <f aca="false">IF(H34="","",IF(H34&lt;=Preço!$C$7,Preço!$B$7,IF(H34&lt;=Preço!$C$8,Preço!$B$8,IF(H34&lt;=Preço!$C$9,Preço!$B$9,Preço!$B$10))))</f>
        <v/>
      </c>
      <c r="J34" s="7" t="str">
        <f aca="false">IF(H34="","",Preço!$D$7+MAX(0,MIN(H34,Preço!$C$8)-Preço!$C$7)*Preço!$D$8+MAX(0,MIN(H34,Preço!$C$9)-Preço!$C$8)*Preço!$D$9+MAX(0,H34-Preço!$C$9)*Preço!$D$10)</f>
        <v/>
      </c>
      <c r="K34" s="7" t="str">
        <f aca="false">IF(H34="","",J34*12)</f>
        <v/>
      </c>
      <c r="L34" s="8"/>
      <c r="M34" s="8"/>
      <c r="N34" s="8"/>
      <c r="O34" s="8"/>
    </row>
    <row r="35" customFormat="false" ht="15" hidden="false" customHeight="false" outlineLevel="0" collapsed="false">
      <c r="B35" s="4" t="n">
        <v>29</v>
      </c>
      <c r="C35" s="5" t="s">
        <v>76</v>
      </c>
      <c r="D35" s="5" t="s">
        <v>77</v>
      </c>
      <c r="E35" s="5" t="s">
        <v>18</v>
      </c>
      <c r="F35" s="5" t="s">
        <v>19</v>
      </c>
      <c r="G35" s="4"/>
      <c r="H35" s="6"/>
      <c r="I35" s="4" t="str">
        <f aca="false">IF(H35="","",IF(H35&lt;=Preço!$C$7,Preço!$B$7,IF(H35&lt;=Preço!$C$8,Preço!$B$8,IF(H35&lt;=Preço!$C$9,Preço!$B$9,Preço!$B$10))))</f>
        <v/>
      </c>
      <c r="J35" s="7" t="str">
        <f aca="false">IF(H35="","",Preço!$D$7+MAX(0,MIN(H35,Preço!$C$8)-Preço!$C$7)*Preço!$D$8+MAX(0,MIN(H35,Preço!$C$9)-Preço!$C$8)*Preço!$D$9+MAX(0,H35-Preço!$C$9)*Preço!$D$10)</f>
        <v/>
      </c>
      <c r="K35" s="7" t="str">
        <f aca="false">IF(H35="","",J35*12)</f>
        <v/>
      </c>
      <c r="L35" s="8"/>
      <c r="M35" s="8"/>
      <c r="N35" s="8"/>
      <c r="O35" s="8"/>
    </row>
    <row r="36" customFormat="false" ht="15" hidden="false" customHeight="false" outlineLevel="0" collapsed="false">
      <c r="B36" s="4" t="n">
        <v>30</v>
      </c>
      <c r="C36" s="5" t="s">
        <v>78</v>
      </c>
      <c r="D36" s="5" t="s">
        <v>79</v>
      </c>
      <c r="E36" s="5" t="s">
        <v>18</v>
      </c>
      <c r="F36" s="5" t="s">
        <v>19</v>
      </c>
      <c r="G36" s="4"/>
      <c r="H36" s="6"/>
      <c r="I36" s="4" t="str">
        <f aca="false">IF(H36="","",IF(H36&lt;=Preço!$C$7,Preço!$B$7,IF(H36&lt;=Preço!$C$8,Preço!$B$8,IF(H36&lt;=Preço!$C$9,Preço!$B$9,Preço!$B$10))))</f>
        <v/>
      </c>
      <c r="J36" s="7" t="str">
        <f aca="false">IF(H36="","",Preço!$D$7+MAX(0,MIN(H36,Preço!$C$8)-Preço!$C$7)*Preço!$D$8+MAX(0,MIN(H36,Preço!$C$9)-Preço!$C$8)*Preço!$D$9+MAX(0,H36-Preço!$C$9)*Preço!$D$10)</f>
        <v/>
      </c>
      <c r="K36" s="7" t="str">
        <f aca="false">IF(H36="","",J36*12)</f>
        <v/>
      </c>
      <c r="L36" s="8"/>
      <c r="M36" s="8"/>
      <c r="N36" s="8"/>
      <c r="O36" s="8"/>
    </row>
    <row r="37" customFormat="false" ht="15" hidden="false" customHeight="false" outlineLevel="0" collapsed="false">
      <c r="B37" s="4" t="n">
        <v>31</v>
      </c>
      <c r="C37" s="5" t="s">
        <v>80</v>
      </c>
      <c r="D37" s="5" t="s">
        <v>81</v>
      </c>
      <c r="E37" s="5" t="s">
        <v>18</v>
      </c>
      <c r="F37" s="5" t="s">
        <v>19</v>
      </c>
      <c r="G37" s="4"/>
      <c r="H37" s="6"/>
      <c r="I37" s="4" t="str">
        <f aca="false">IF(H37="","",IF(H37&lt;=Preço!$C$7,Preço!$B$7,IF(H37&lt;=Preço!$C$8,Preço!$B$8,IF(H37&lt;=Preço!$C$9,Preço!$B$9,Preço!$B$10))))</f>
        <v/>
      </c>
      <c r="J37" s="7" t="str">
        <f aca="false">IF(H37="","",Preço!$D$7+MAX(0,MIN(H37,Preço!$C$8)-Preço!$C$7)*Preço!$D$8+MAX(0,MIN(H37,Preço!$C$9)-Preço!$C$8)*Preço!$D$9+MAX(0,H37-Preço!$C$9)*Preço!$D$10)</f>
        <v/>
      </c>
      <c r="K37" s="7" t="str">
        <f aca="false">IF(H37="","",J37*12)</f>
        <v/>
      </c>
      <c r="L37" s="8"/>
      <c r="M37" s="8"/>
      <c r="N37" s="8"/>
      <c r="O37" s="8"/>
    </row>
    <row r="38" customFormat="false" ht="15" hidden="false" customHeight="false" outlineLevel="0" collapsed="false">
      <c r="B38" s="4" t="n">
        <v>32</v>
      </c>
      <c r="C38" s="5" t="s">
        <v>82</v>
      </c>
      <c r="D38" s="5" t="s">
        <v>83</v>
      </c>
      <c r="E38" s="5" t="s">
        <v>18</v>
      </c>
      <c r="F38" s="5" t="s">
        <v>19</v>
      </c>
      <c r="G38" s="4"/>
      <c r="H38" s="6"/>
      <c r="I38" s="4" t="str">
        <f aca="false">IF(H38="","",IF(H38&lt;=Preço!$C$7,Preço!$B$7,IF(H38&lt;=Preço!$C$8,Preço!$B$8,IF(H38&lt;=Preço!$C$9,Preço!$B$9,Preço!$B$10))))</f>
        <v/>
      </c>
      <c r="J38" s="7" t="str">
        <f aca="false">IF(H38="","",Preço!$D$7+MAX(0,MIN(H38,Preço!$C$8)-Preço!$C$7)*Preço!$D$8+MAX(0,MIN(H38,Preço!$C$9)-Preço!$C$8)*Preço!$D$9+MAX(0,H38-Preço!$C$9)*Preço!$D$10)</f>
        <v/>
      </c>
      <c r="K38" s="7" t="str">
        <f aca="false">IF(H38="","",J38*12)</f>
        <v/>
      </c>
      <c r="L38" s="8"/>
      <c r="M38" s="8"/>
      <c r="N38" s="8"/>
      <c r="O38" s="8"/>
    </row>
    <row r="39" customFormat="false" ht="15" hidden="false" customHeight="false" outlineLevel="0" collapsed="false">
      <c r="B39" s="4" t="n">
        <v>33</v>
      </c>
      <c r="C39" s="5" t="s">
        <v>84</v>
      </c>
      <c r="D39" s="5" t="s">
        <v>85</v>
      </c>
      <c r="E39" s="5" t="s">
        <v>18</v>
      </c>
      <c r="F39" s="5" t="s">
        <v>19</v>
      </c>
      <c r="G39" s="4"/>
      <c r="H39" s="6"/>
      <c r="I39" s="4" t="str">
        <f aca="false">IF(H39="","",IF(H39&lt;=Preço!$C$7,Preço!$B$7,IF(H39&lt;=Preço!$C$8,Preço!$B$8,IF(H39&lt;=Preço!$C$9,Preço!$B$9,Preço!$B$10))))</f>
        <v/>
      </c>
      <c r="J39" s="7" t="str">
        <f aca="false">IF(H39="","",Preço!$D$7+MAX(0,MIN(H39,Preço!$C$8)-Preço!$C$7)*Preço!$D$8+MAX(0,MIN(H39,Preço!$C$9)-Preço!$C$8)*Preço!$D$9+MAX(0,H39-Preço!$C$9)*Preço!$D$10)</f>
        <v/>
      </c>
      <c r="K39" s="7" t="str">
        <f aca="false">IF(H39="","",J39*12)</f>
        <v/>
      </c>
      <c r="L39" s="8"/>
      <c r="M39" s="8"/>
      <c r="N39" s="8"/>
      <c r="O39" s="8"/>
    </row>
    <row r="40" customFormat="false" ht="15" hidden="false" customHeight="false" outlineLevel="0" collapsed="false">
      <c r="B40" s="4" t="n">
        <v>34</v>
      </c>
      <c r="C40" s="5" t="s">
        <v>86</v>
      </c>
      <c r="D40" s="5" t="s">
        <v>87</v>
      </c>
      <c r="E40" s="5" t="s">
        <v>18</v>
      </c>
      <c r="F40" s="5" t="s">
        <v>19</v>
      </c>
      <c r="G40" s="4"/>
      <c r="H40" s="6"/>
      <c r="I40" s="4" t="str">
        <f aca="false">IF(H40="","",IF(H40&lt;=Preço!$C$7,Preço!$B$7,IF(H40&lt;=Preço!$C$8,Preço!$B$8,IF(H40&lt;=Preço!$C$9,Preço!$B$9,Preço!$B$10))))</f>
        <v/>
      </c>
      <c r="J40" s="7" t="str">
        <f aca="false">IF(H40="","",Preço!$D$7+MAX(0,MIN(H40,Preço!$C$8)-Preço!$C$7)*Preço!$D$8+MAX(0,MIN(H40,Preço!$C$9)-Preço!$C$8)*Preço!$D$9+MAX(0,H40-Preço!$C$9)*Preço!$D$10)</f>
        <v/>
      </c>
      <c r="K40" s="7" t="str">
        <f aca="false">IF(H40="","",J40*12)</f>
        <v/>
      </c>
      <c r="L40" s="8"/>
      <c r="M40" s="8"/>
      <c r="N40" s="8"/>
      <c r="O40" s="8"/>
    </row>
    <row r="41" customFormat="false" ht="15" hidden="false" customHeight="false" outlineLevel="0" collapsed="false">
      <c r="B41" s="4" t="n">
        <v>35</v>
      </c>
      <c r="C41" s="5" t="s">
        <v>88</v>
      </c>
      <c r="D41" s="5" t="s">
        <v>89</v>
      </c>
      <c r="E41" s="5" t="s">
        <v>18</v>
      </c>
      <c r="F41" s="5" t="s">
        <v>19</v>
      </c>
      <c r="G41" s="4"/>
      <c r="H41" s="6"/>
      <c r="I41" s="4" t="str">
        <f aca="false">IF(H41="","",IF(H41&lt;=Preço!$C$7,Preço!$B$7,IF(H41&lt;=Preço!$C$8,Preço!$B$8,IF(H41&lt;=Preço!$C$9,Preço!$B$9,Preço!$B$10))))</f>
        <v/>
      </c>
      <c r="J41" s="7" t="str">
        <f aca="false">IF(H41="","",Preço!$D$7+MAX(0,MIN(H41,Preço!$C$8)-Preço!$C$7)*Preço!$D$8+MAX(0,MIN(H41,Preço!$C$9)-Preço!$C$8)*Preço!$D$9+MAX(0,H41-Preço!$C$9)*Preço!$D$10)</f>
        <v/>
      </c>
      <c r="K41" s="7" t="str">
        <f aca="false">IF(H41="","",J41*12)</f>
        <v/>
      </c>
      <c r="L41" s="8"/>
      <c r="M41" s="8"/>
      <c r="N41" s="8"/>
      <c r="O41" s="8"/>
    </row>
    <row r="42" customFormat="false" ht="15" hidden="false" customHeight="false" outlineLevel="0" collapsed="false">
      <c r="B42" s="9" t="n">
        <v>36</v>
      </c>
      <c r="C42" s="10" t="s">
        <v>90</v>
      </c>
      <c r="D42" s="10" t="s">
        <v>91</v>
      </c>
      <c r="E42" s="10" t="s">
        <v>18</v>
      </c>
      <c r="F42" s="10" t="s">
        <v>19</v>
      </c>
      <c r="G42" s="11" t="s">
        <v>53</v>
      </c>
      <c r="H42" s="6"/>
      <c r="I42" s="9" t="str">
        <f aca="false">IF(H42="","",IF(H42&lt;=Preço!$C$7,Preço!$B$7,IF(H42&lt;=Preço!$C$8,Preço!$B$8,IF(H42&lt;=Preço!$C$9,Preço!$B$9,Preço!$B$10))))</f>
        <v/>
      </c>
      <c r="J42" s="12" t="str">
        <f aca="false">IF(H42="","",Preço!$D$7+MAX(0,MIN(H42,Preço!$C$8)-Preço!$C$7)*Preço!$D$8+MAX(0,MIN(H42,Preço!$C$9)-Preço!$C$8)*Preço!$D$9+MAX(0,H42-Preço!$C$9)*Preço!$D$10)</f>
        <v/>
      </c>
      <c r="K42" s="12" t="str">
        <f aca="false">IF(H42="","",J42*12)</f>
        <v/>
      </c>
      <c r="L42" s="8"/>
      <c r="M42" s="8"/>
      <c r="N42" s="8"/>
      <c r="O42" s="8"/>
    </row>
    <row r="43" customFormat="false" ht="15" hidden="false" customHeight="false" outlineLevel="0" collapsed="false">
      <c r="B43" s="4" t="n">
        <v>37</v>
      </c>
      <c r="C43" s="5" t="s">
        <v>92</v>
      </c>
      <c r="D43" s="5" t="s">
        <v>93</v>
      </c>
      <c r="E43" s="5" t="s">
        <v>18</v>
      </c>
      <c r="F43" s="5" t="s">
        <v>19</v>
      </c>
      <c r="G43" s="4"/>
      <c r="H43" s="6"/>
      <c r="I43" s="4" t="str">
        <f aca="false">IF(H43="","",IF(H43&lt;=Preço!$C$7,Preço!$B$7,IF(H43&lt;=Preço!$C$8,Preço!$B$8,IF(H43&lt;=Preço!$C$9,Preço!$B$9,Preço!$B$10))))</f>
        <v/>
      </c>
      <c r="J43" s="7" t="str">
        <f aca="false">IF(H43="","",Preço!$D$7+MAX(0,MIN(H43,Preço!$C$8)-Preço!$C$7)*Preço!$D$8+MAX(0,MIN(H43,Preço!$C$9)-Preço!$C$8)*Preço!$D$9+MAX(0,H43-Preço!$C$9)*Preço!$D$10)</f>
        <v/>
      </c>
      <c r="K43" s="7" t="str">
        <f aca="false">IF(H43="","",J43*12)</f>
        <v/>
      </c>
      <c r="L43" s="8"/>
      <c r="M43" s="8"/>
      <c r="N43" s="8"/>
      <c r="O43" s="8"/>
    </row>
    <row r="44" customFormat="false" ht="15" hidden="false" customHeight="false" outlineLevel="0" collapsed="false">
      <c r="B44" s="4" t="n">
        <v>38</v>
      </c>
      <c r="C44" s="5" t="s">
        <v>94</v>
      </c>
      <c r="D44" s="5" t="s">
        <v>95</v>
      </c>
      <c r="E44" s="5" t="s">
        <v>18</v>
      </c>
      <c r="F44" s="5" t="s">
        <v>19</v>
      </c>
      <c r="G44" s="4"/>
      <c r="H44" s="6"/>
      <c r="I44" s="4" t="str">
        <f aca="false">IF(H44="","",IF(H44&lt;=Preço!$C$7,Preço!$B$7,IF(H44&lt;=Preço!$C$8,Preço!$B$8,IF(H44&lt;=Preço!$C$9,Preço!$B$9,Preço!$B$10))))</f>
        <v/>
      </c>
      <c r="J44" s="7" t="str">
        <f aca="false">IF(H44="","",Preço!$D$7+MAX(0,MIN(H44,Preço!$C$8)-Preço!$C$7)*Preço!$D$8+MAX(0,MIN(H44,Preço!$C$9)-Preço!$C$8)*Preço!$D$9+MAX(0,H44-Preço!$C$9)*Preço!$D$10)</f>
        <v/>
      </c>
      <c r="K44" s="7" t="str">
        <f aca="false">IF(H44="","",J44*12)</f>
        <v/>
      </c>
      <c r="L44" s="8"/>
      <c r="M44" s="8"/>
      <c r="N44" s="8"/>
      <c r="O44" s="8"/>
    </row>
    <row r="45" customFormat="false" ht="15" hidden="false" customHeight="false" outlineLevel="0" collapsed="false">
      <c r="B45" s="4" t="n">
        <v>39</v>
      </c>
      <c r="C45" s="5" t="s">
        <v>96</v>
      </c>
      <c r="D45" s="5" t="s">
        <v>97</v>
      </c>
      <c r="E45" s="5" t="s">
        <v>18</v>
      </c>
      <c r="F45" s="5" t="s">
        <v>19</v>
      </c>
      <c r="G45" s="4"/>
      <c r="H45" s="6"/>
      <c r="I45" s="4" t="str">
        <f aca="false">IF(H45="","",IF(H45&lt;=Preço!$C$7,Preço!$B$7,IF(H45&lt;=Preço!$C$8,Preço!$B$8,IF(H45&lt;=Preço!$C$9,Preço!$B$9,Preço!$B$10))))</f>
        <v/>
      </c>
      <c r="J45" s="7" t="str">
        <f aca="false">IF(H45="","",Preço!$D$7+MAX(0,MIN(H45,Preço!$C$8)-Preço!$C$7)*Preço!$D$8+MAX(0,MIN(H45,Preço!$C$9)-Preço!$C$8)*Preço!$D$9+MAX(0,H45-Preço!$C$9)*Preço!$D$10)</f>
        <v/>
      </c>
      <c r="K45" s="7" t="str">
        <f aca="false">IF(H45="","",J45*12)</f>
        <v/>
      </c>
      <c r="L45" s="8"/>
      <c r="M45" s="8"/>
      <c r="N45" s="8"/>
      <c r="O45" s="8"/>
    </row>
    <row r="46" customFormat="false" ht="15" hidden="false" customHeight="false" outlineLevel="0" collapsed="false">
      <c r="B46" s="9" t="n">
        <v>40</v>
      </c>
      <c r="C46" s="10" t="s">
        <v>98</v>
      </c>
      <c r="D46" s="10" t="s">
        <v>99</v>
      </c>
      <c r="E46" s="10" t="s">
        <v>18</v>
      </c>
      <c r="F46" s="10" t="s">
        <v>19</v>
      </c>
      <c r="G46" s="11" t="s">
        <v>53</v>
      </c>
      <c r="H46" s="6"/>
      <c r="I46" s="9" t="str">
        <f aca="false">IF(H46="","",IF(H46&lt;=Preço!$C$7,Preço!$B$7,IF(H46&lt;=Preço!$C$8,Preço!$B$8,IF(H46&lt;=Preço!$C$9,Preço!$B$9,Preço!$B$10))))</f>
        <v/>
      </c>
      <c r="J46" s="12" t="str">
        <f aca="false">IF(H46="","",Preço!$D$7+MAX(0,MIN(H46,Preço!$C$8)-Preço!$C$7)*Preço!$D$8+MAX(0,MIN(H46,Preço!$C$9)-Preço!$C$8)*Preço!$D$9+MAX(0,H46-Preço!$C$9)*Preço!$D$10)</f>
        <v/>
      </c>
      <c r="K46" s="12" t="str">
        <f aca="false">IF(H46="","",J46*12)</f>
        <v/>
      </c>
      <c r="L46" s="8"/>
      <c r="M46" s="8"/>
      <c r="N46" s="8"/>
      <c r="O46" s="8"/>
    </row>
    <row r="47" customFormat="false" ht="15" hidden="false" customHeight="false" outlineLevel="0" collapsed="false">
      <c r="B47" s="4" t="n">
        <v>41</v>
      </c>
      <c r="C47" s="5" t="s">
        <v>100</v>
      </c>
      <c r="D47" s="5" t="s">
        <v>101</v>
      </c>
      <c r="E47" s="5" t="s">
        <v>18</v>
      </c>
      <c r="F47" s="5" t="s">
        <v>19</v>
      </c>
      <c r="G47" s="4"/>
      <c r="H47" s="6"/>
      <c r="I47" s="4" t="str">
        <f aca="false">IF(H47="","",IF(H47&lt;=Preço!$C$7,Preço!$B$7,IF(H47&lt;=Preço!$C$8,Preço!$B$8,IF(H47&lt;=Preço!$C$9,Preço!$B$9,Preço!$B$10))))</f>
        <v/>
      </c>
      <c r="J47" s="7" t="str">
        <f aca="false">IF(H47="","",Preço!$D$7+MAX(0,MIN(H47,Preço!$C$8)-Preço!$C$7)*Preço!$D$8+MAX(0,MIN(H47,Preço!$C$9)-Preço!$C$8)*Preço!$D$9+MAX(0,H47-Preço!$C$9)*Preço!$D$10)</f>
        <v/>
      </c>
      <c r="K47" s="7" t="str">
        <f aca="false">IF(H47="","",J47*12)</f>
        <v/>
      </c>
      <c r="L47" s="8"/>
      <c r="M47" s="8"/>
      <c r="N47" s="8"/>
      <c r="O47" s="8"/>
    </row>
    <row r="48" customFormat="false" ht="15" hidden="false" customHeight="false" outlineLevel="0" collapsed="false">
      <c r="B48" s="4" t="n">
        <v>42</v>
      </c>
      <c r="C48" s="5" t="s">
        <v>102</v>
      </c>
      <c r="D48" s="5" t="s">
        <v>103</v>
      </c>
      <c r="E48" s="5" t="s">
        <v>18</v>
      </c>
      <c r="F48" s="5" t="s">
        <v>19</v>
      </c>
      <c r="G48" s="4"/>
      <c r="H48" s="6"/>
      <c r="I48" s="4" t="str">
        <f aca="false">IF(H48="","",IF(H48&lt;=Preço!$C$7,Preço!$B$7,IF(H48&lt;=Preço!$C$8,Preço!$B$8,IF(H48&lt;=Preço!$C$9,Preço!$B$9,Preço!$B$10))))</f>
        <v/>
      </c>
      <c r="J48" s="7" t="str">
        <f aca="false">IF(H48="","",Preço!$D$7+MAX(0,MIN(H48,Preço!$C$8)-Preço!$C$7)*Preço!$D$8+MAX(0,MIN(H48,Preço!$C$9)-Preço!$C$8)*Preço!$D$9+MAX(0,H48-Preço!$C$9)*Preço!$D$10)</f>
        <v/>
      </c>
      <c r="K48" s="7" t="str">
        <f aca="false">IF(H48="","",J48*12)</f>
        <v/>
      </c>
      <c r="L48" s="8"/>
      <c r="M48" s="8"/>
      <c r="N48" s="8"/>
      <c r="O48" s="8"/>
    </row>
    <row r="49" customFormat="false" ht="15" hidden="false" customHeight="false" outlineLevel="0" collapsed="false">
      <c r="B49" s="4" t="n">
        <v>43</v>
      </c>
      <c r="C49" s="5" t="s">
        <v>104</v>
      </c>
      <c r="D49" s="5" t="s">
        <v>105</v>
      </c>
      <c r="E49" s="5" t="s">
        <v>18</v>
      </c>
      <c r="F49" s="5" t="s">
        <v>19</v>
      </c>
      <c r="G49" s="4"/>
      <c r="H49" s="6"/>
      <c r="I49" s="4" t="str">
        <f aca="false">IF(H49="","",IF(H49&lt;=Preço!$C$7,Preço!$B$7,IF(H49&lt;=Preço!$C$8,Preço!$B$8,IF(H49&lt;=Preço!$C$9,Preço!$B$9,Preço!$B$10))))</f>
        <v/>
      </c>
      <c r="J49" s="7" t="str">
        <f aca="false">IF(H49="","",Preço!$D$7+MAX(0,MIN(H49,Preço!$C$8)-Preço!$C$7)*Preço!$D$8+MAX(0,MIN(H49,Preço!$C$9)-Preço!$C$8)*Preço!$D$9+MAX(0,H49-Preço!$C$9)*Preço!$D$10)</f>
        <v/>
      </c>
      <c r="K49" s="7" t="str">
        <f aca="false">IF(H49="","",J49*12)</f>
        <v/>
      </c>
      <c r="L49" s="8"/>
      <c r="M49" s="8"/>
      <c r="N49" s="8"/>
      <c r="O49" s="8"/>
    </row>
    <row r="50" customFormat="false" ht="15" hidden="false" customHeight="false" outlineLevel="0" collapsed="false">
      <c r="B50" s="4" t="n">
        <v>44</v>
      </c>
      <c r="C50" s="5" t="s">
        <v>106</v>
      </c>
      <c r="D50" s="5" t="s">
        <v>107</v>
      </c>
      <c r="E50" s="5" t="s">
        <v>18</v>
      </c>
      <c r="F50" s="5" t="s">
        <v>19</v>
      </c>
      <c r="G50" s="4"/>
      <c r="H50" s="6"/>
      <c r="I50" s="4" t="str">
        <f aca="false">IF(H50="","",IF(H50&lt;=Preço!$C$7,Preço!$B$7,IF(H50&lt;=Preço!$C$8,Preço!$B$8,IF(H50&lt;=Preço!$C$9,Preço!$B$9,Preço!$B$10))))</f>
        <v/>
      </c>
      <c r="J50" s="7" t="str">
        <f aca="false">IF(H50="","",Preço!$D$7+MAX(0,MIN(H50,Preço!$C$8)-Preço!$C$7)*Preço!$D$8+MAX(0,MIN(H50,Preço!$C$9)-Preço!$C$8)*Preço!$D$9+MAX(0,H50-Preço!$C$9)*Preço!$D$10)</f>
        <v/>
      </c>
      <c r="K50" s="7" t="str">
        <f aca="false">IF(H50="","",J50*12)</f>
        <v/>
      </c>
      <c r="L50" s="8"/>
      <c r="M50" s="8"/>
      <c r="N50" s="8"/>
      <c r="O50" s="8"/>
    </row>
    <row r="51" customFormat="false" ht="15" hidden="false" customHeight="false" outlineLevel="0" collapsed="false">
      <c r="B51" s="4" t="n">
        <v>45</v>
      </c>
      <c r="C51" s="5" t="s">
        <v>108</v>
      </c>
      <c r="D51" s="5" t="s">
        <v>109</v>
      </c>
      <c r="E51" s="5" t="s">
        <v>18</v>
      </c>
      <c r="F51" s="5" t="s">
        <v>19</v>
      </c>
      <c r="G51" s="4"/>
      <c r="H51" s="6"/>
      <c r="I51" s="4" t="str">
        <f aca="false">IF(H51="","",IF(H51&lt;=Preço!$C$7,Preço!$B$7,IF(H51&lt;=Preço!$C$8,Preço!$B$8,IF(H51&lt;=Preço!$C$9,Preço!$B$9,Preço!$B$10))))</f>
        <v/>
      </c>
      <c r="J51" s="7" t="str">
        <f aca="false">IF(H51="","",Preço!$D$7+MAX(0,MIN(H51,Preço!$C$8)-Preço!$C$7)*Preço!$D$8+MAX(0,MIN(H51,Preço!$C$9)-Preço!$C$8)*Preço!$D$9+MAX(0,H51-Preço!$C$9)*Preço!$D$10)</f>
        <v/>
      </c>
      <c r="K51" s="7" t="str">
        <f aca="false">IF(H51="","",J51*12)</f>
        <v/>
      </c>
      <c r="L51" s="8"/>
      <c r="M51" s="8"/>
      <c r="N51" s="8"/>
      <c r="O51" s="8"/>
    </row>
    <row r="52" customFormat="false" ht="15" hidden="false" customHeight="false" outlineLevel="0" collapsed="false">
      <c r="B52" s="4" t="n">
        <v>46</v>
      </c>
      <c r="C52" s="5" t="s">
        <v>110</v>
      </c>
      <c r="D52" s="5" t="s">
        <v>111</v>
      </c>
      <c r="E52" s="5" t="s">
        <v>18</v>
      </c>
      <c r="F52" s="5" t="s">
        <v>19</v>
      </c>
      <c r="G52" s="4"/>
      <c r="H52" s="6"/>
      <c r="I52" s="4" t="str">
        <f aca="false">IF(H52="","",IF(H52&lt;=Preço!$C$7,Preço!$B$7,IF(H52&lt;=Preço!$C$8,Preço!$B$8,IF(H52&lt;=Preço!$C$9,Preço!$B$9,Preço!$B$10))))</f>
        <v/>
      </c>
      <c r="J52" s="7" t="str">
        <f aca="false">IF(H52="","",Preço!$D$7+MAX(0,MIN(H52,Preço!$C$8)-Preço!$C$7)*Preço!$D$8+MAX(0,MIN(H52,Preço!$C$9)-Preço!$C$8)*Preço!$D$9+MAX(0,H52-Preço!$C$9)*Preço!$D$10)</f>
        <v/>
      </c>
      <c r="K52" s="7" t="str">
        <f aca="false">IF(H52="","",J52*12)</f>
        <v/>
      </c>
      <c r="L52" s="8"/>
      <c r="M52" s="8"/>
      <c r="N52" s="8"/>
      <c r="O52" s="8"/>
    </row>
    <row r="53" customFormat="false" ht="15" hidden="false" customHeight="false" outlineLevel="0" collapsed="false">
      <c r="B53" s="4" t="n">
        <v>47</v>
      </c>
      <c r="C53" s="5" t="s">
        <v>112</v>
      </c>
      <c r="D53" s="5" t="s">
        <v>113</v>
      </c>
      <c r="E53" s="5" t="s">
        <v>18</v>
      </c>
      <c r="F53" s="5" t="s">
        <v>19</v>
      </c>
      <c r="G53" s="4"/>
      <c r="H53" s="6"/>
      <c r="I53" s="4" t="str">
        <f aca="false">IF(H53="","",IF(H53&lt;=Preço!$C$7,Preço!$B$7,IF(H53&lt;=Preço!$C$8,Preço!$B$8,IF(H53&lt;=Preço!$C$9,Preço!$B$9,Preço!$B$10))))</f>
        <v/>
      </c>
      <c r="J53" s="7" t="str">
        <f aca="false">IF(H53="","",Preço!$D$7+MAX(0,MIN(H53,Preço!$C$8)-Preço!$C$7)*Preço!$D$8+MAX(0,MIN(H53,Preço!$C$9)-Preço!$C$8)*Preço!$D$9+MAX(0,H53-Preço!$C$9)*Preço!$D$10)</f>
        <v/>
      </c>
      <c r="K53" s="7" t="str">
        <f aca="false">IF(H53="","",J53*12)</f>
        <v/>
      </c>
      <c r="L53" s="8"/>
      <c r="M53" s="8"/>
      <c r="N53" s="8"/>
      <c r="O53" s="8"/>
    </row>
    <row r="54" customFormat="false" ht="15" hidden="false" customHeight="false" outlineLevel="0" collapsed="false">
      <c r="B54" s="4" t="n">
        <v>48</v>
      </c>
      <c r="C54" s="5" t="s">
        <v>114</v>
      </c>
      <c r="D54" s="5" t="s">
        <v>115</v>
      </c>
      <c r="E54" s="5" t="s">
        <v>18</v>
      </c>
      <c r="F54" s="5" t="s">
        <v>19</v>
      </c>
      <c r="G54" s="4"/>
      <c r="H54" s="6"/>
      <c r="I54" s="4" t="str">
        <f aca="false">IF(H54="","",IF(H54&lt;=Preço!$C$7,Preço!$B$7,IF(H54&lt;=Preço!$C$8,Preço!$B$8,IF(H54&lt;=Preço!$C$9,Preço!$B$9,Preço!$B$10))))</f>
        <v/>
      </c>
      <c r="J54" s="7" t="str">
        <f aca="false">IF(H54="","",Preço!$D$7+MAX(0,MIN(H54,Preço!$C$8)-Preço!$C$7)*Preço!$D$8+MAX(0,MIN(H54,Preço!$C$9)-Preço!$C$8)*Preço!$D$9+MAX(0,H54-Preço!$C$9)*Preço!$D$10)</f>
        <v/>
      </c>
      <c r="K54" s="7" t="str">
        <f aca="false">IF(H54="","",J54*12)</f>
        <v/>
      </c>
      <c r="L54" s="8"/>
      <c r="M54" s="8"/>
      <c r="N54" s="8"/>
      <c r="O54" s="8"/>
    </row>
    <row r="55" customFormat="false" ht="15" hidden="false" customHeight="false" outlineLevel="0" collapsed="false">
      <c r="B55" s="4" t="n">
        <v>49</v>
      </c>
      <c r="C55" s="5" t="s">
        <v>116</v>
      </c>
      <c r="D55" s="5" t="s">
        <v>117</v>
      </c>
      <c r="E55" s="5" t="s">
        <v>18</v>
      </c>
      <c r="F55" s="5" t="s">
        <v>19</v>
      </c>
      <c r="G55" s="4"/>
      <c r="H55" s="6"/>
      <c r="I55" s="4" t="str">
        <f aca="false">IF(H55="","",IF(H55&lt;=Preço!$C$7,Preço!$B$7,IF(H55&lt;=Preço!$C$8,Preço!$B$8,IF(H55&lt;=Preço!$C$9,Preço!$B$9,Preço!$B$10))))</f>
        <v/>
      </c>
      <c r="J55" s="7" t="str">
        <f aca="false">IF(H55="","",Preço!$D$7+MAX(0,MIN(H55,Preço!$C$8)-Preço!$C$7)*Preço!$D$8+MAX(0,MIN(H55,Preço!$C$9)-Preço!$C$8)*Preço!$D$9+MAX(0,H55-Preço!$C$9)*Preço!$D$10)</f>
        <v/>
      </c>
      <c r="K55" s="7" t="str">
        <f aca="false">IF(H55="","",J55*12)</f>
        <v/>
      </c>
      <c r="L55" s="8"/>
      <c r="M55" s="8"/>
      <c r="N55" s="8"/>
      <c r="O55" s="8"/>
    </row>
    <row r="56" customFormat="false" ht="15" hidden="false" customHeight="false" outlineLevel="0" collapsed="false">
      <c r="B56" s="4" t="n">
        <v>50</v>
      </c>
      <c r="C56" s="5" t="s">
        <v>118</v>
      </c>
      <c r="D56" s="5" t="s">
        <v>119</v>
      </c>
      <c r="E56" s="5" t="s">
        <v>18</v>
      </c>
      <c r="F56" s="5" t="s">
        <v>19</v>
      </c>
      <c r="G56" s="4"/>
      <c r="H56" s="6"/>
      <c r="I56" s="4" t="str">
        <f aca="false">IF(H56="","",IF(H56&lt;=Preço!$C$7,Preço!$B$7,IF(H56&lt;=Preço!$C$8,Preço!$B$8,IF(H56&lt;=Preço!$C$9,Preço!$B$9,Preço!$B$10))))</f>
        <v/>
      </c>
      <c r="J56" s="7" t="str">
        <f aca="false">IF(H56="","",Preço!$D$7+MAX(0,MIN(H56,Preço!$C$8)-Preço!$C$7)*Preço!$D$8+MAX(0,MIN(H56,Preço!$C$9)-Preço!$C$8)*Preço!$D$9+MAX(0,H56-Preço!$C$9)*Preço!$D$10)</f>
        <v/>
      </c>
      <c r="K56" s="7" t="str">
        <f aca="false">IF(H56="","",J56*12)</f>
        <v/>
      </c>
      <c r="L56" s="8"/>
      <c r="M56" s="8"/>
      <c r="N56" s="8"/>
      <c r="O56" s="8"/>
    </row>
    <row r="57" customFormat="false" ht="15" hidden="false" customHeight="false" outlineLevel="0" collapsed="false">
      <c r="B57" s="4" t="n">
        <v>51</v>
      </c>
      <c r="C57" s="5" t="s">
        <v>120</v>
      </c>
      <c r="D57" s="5" t="s">
        <v>121</v>
      </c>
      <c r="E57" s="5" t="s">
        <v>18</v>
      </c>
      <c r="F57" s="5" t="s">
        <v>19</v>
      </c>
      <c r="G57" s="4"/>
      <c r="H57" s="6"/>
      <c r="I57" s="4" t="str">
        <f aca="false">IF(H57="","",IF(H57&lt;=Preço!$C$7,Preço!$B$7,IF(H57&lt;=Preço!$C$8,Preço!$B$8,IF(H57&lt;=Preço!$C$9,Preço!$B$9,Preço!$B$10))))</f>
        <v/>
      </c>
      <c r="J57" s="7" t="str">
        <f aca="false">IF(H57="","",Preço!$D$7+MAX(0,MIN(H57,Preço!$C$8)-Preço!$C$7)*Preço!$D$8+MAX(0,MIN(H57,Preço!$C$9)-Preço!$C$8)*Preço!$D$9+MAX(0,H57-Preço!$C$9)*Preço!$D$10)</f>
        <v/>
      </c>
      <c r="K57" s="7" t="str">
        <f aca="false">IF(H57="","",J57*12)</f>
        <v/>
      </c>
      <c r="L57" s="8"/>
      <c r="M57" s="8"/>
      <c r="N57" s="8"/>
      <c r="O57" s="8"/>
    </row>
    <row r="58" customFormat="false" ht="15" hidden="false" customHeight="false" outlineLevel="0" collapsed="false">
      <c r="B58" s="4" t="n">
        <v>52</v>
      </c>
      <c r="C58" s="5" t="s">
        <v>122</v>
      </c>
      <c r="D58" s="5" t="s">
        <v>123</v>
      </c>
      <c r="E58" s="5" t="s">
        <v>18</v>
      </c>
      <c r="F58" s="5" t="s">
        <v>19</v>
      </c>
      <c r="G58" s="4"/>
      <c r="H58" s="6"/>
      <c r="I58" s="4" t="str">
        <f aca="false">IF(H58="","",IF(H58&lt;=Preço!$C$7,Preço!$B$7,IF(H58&lt;=Preço!$C$8,Preço!$B$8,IF(H58&lt;=Preço!$C$9,Preço!$B$9,Preço!$B$10))))</f>
        <v/>
      </c>
      <c r="J58" s="7" t="str">
        <f aca="false">IF(H58="","",Preço!$D$7+MAX(0,MIN(H58,Preço!$C$8)-Preço!$C$7)*Preço!$D$8+MAX(0,MIN(H58,Preço!$C$9)-Preço!$C$8)*Preço!$D$9+MAX(0,H58-Preço!$C$9)*Preço!$D$10)</f>
        <v/>
      </c>
      <c r="K58" s="7" t="str">
        <f aca="false">IF(H58="","",J58*12)</f>
        <v/>
      </c>
      <c r="L58" s="8"/>
      <c r="M58" s="8"/>
      <c r="N58" s="8"/>
      <c r="O58" s="8"/>
    </row>
    <row r="59" customFormat="false" ht="15" hidden="false" customHeight="false" outlineLevel="0" collapsed="false">
      <c r="B59" s="4" t="n">
        <v>53</v>
      </c>
      <c r="C59" s="5" t="s">
        <v>124</v>
      </c>
      <c r="D59" s="5" t="s">
        <v>125</v>
      </c>
      <c r="E59" s="5" t="s">
        <v>18</v>
      </c>
      <c r="F59" s="5" t="s">
        <v>19</v>
      </c>
      <c r="G59" s="4"/>
      <c r="H59" s="6"/>
      <c r="I59" s="4" t="str">
        <f aca="false">IF(H59="","",IF(H59&lt;=Preço!$C$7,Preço!$B$7,IF(H59&lt;=Preço!$C$8,Preço!$B$8,IF(H59&lt;=Preço!$C$9,Preço!$B$9,Preço!$B$10))))</f>
        <v/>
      </c>
      <c r="J59" s="7" t="str">
        <f aca="false">IF(H59="","",Preço!$D$7+MAX(0,MIN(H59,Preço!$C$8)-Preço!$C$7)*Preço!$D$8+MAX(0,MIN(H59,Preço!$C$9)-Preço!$C$8)*Preço!$D$9+MAX(0,H59-Preço!$C$9)*Preço!$D$10)</f>
        <v/>
      </c>
      <c r="K59" s="7" t="str">
        <f aca="false">IF(H59="","",J59*12)</f>
        <v/>
      </c>
      <c r="L59" s="8"/>
      <c r="M59" s="8"/>
      <c r="N59" s="8"/>
      <c r="O59" s="8"/>
    </row>
    <row r="60" customFormat="false" ht="15" hidden="false" customHeight="false" outlineLevel="0" collapsed="false">
      <c r="B60" s="4" t="n">
        <v>54</v>
      </c>
      <c r="C60" s="5" t="s">
        <v>126</v>
      </c>
      <c r="D60" s="5" t="s">
        <v>127</v>
      </c>
      <c r="E60" s="5" t="s">
        <v>18</v>
      </c>
      <c r="F60" s="5" t="s">
        <v>19</v>
      </c>
      <c r="G60" s="4"/>
      <c r="H60" s="6"/>
      <c r="I60" s="4" t="str">
        <f aca="false">IF(H60="","",IF(H60&lt;=Preço!$C$7,Preço!$B$7,IF(H60&lt;=Preço!$C$8,Preço!$B$8,IF(H60&lt;=Preço!$C$9,Preço!$B$9,Preço!$B$10))))</f>
        <v/>
      </c>
      <c r="J60" s="7" t="str">
        <f aca="false">IF(H60="","",Preço!$D$7+MAX(0,MIN(H60,Preço!$C$8)-Preço!$C$7)*Preço!$D$8+MAX(0,MIN(H60,Preço!$C$9)-Preço!$C$8)*Preço!$D$9+MAX(0,H60-Preço!$C$9)*Preço!$D$10)</f>
        <v/>
      </c>
      <c r="K60" s="7" t="str">
        <f aca="false">IF(H60="","",J60*12)</f>
        <v/>
      </c>
      <c r="L60" s="8"/>
      <c r="M60" s="8"/>
      <c r="N60" s="8"/>
      <c r="O60" s="8"/>
    </row>
    <row r="61" customFormat="false" ht="15" hidden="false" customHeight="false" outlineLevel="0" collapsed="false">
      <c r="B61" s="4" t="n">
        <v>55</v>
      </c>
      <c r="C61" s="5" t="s">
        <v>128</v>
      </c>
      <c r="D61" s="5" t="s">
        <v>129</v>
      </c>
      <c r="E61" s="5" t="s">
        <v>18</v>
      </c>
      <c r="F61" s="5" t="s">
        <v>19</v>
      </c>
      <c r="G61" s="4"/>
      <c r="H61" s="6"/>
      <c r="I61" s="4" t="str">
        <f aca="false">IF(H61="","",IF(H61&lt;=Preço!$C$7,Preço!$B$7,IF(H61&lt;=Preço!$C$8,Preço!$B$8,IF(H61&lt;=Preço!$C$9,Preço!$B$9,Preço!$B$10))))</f>
        <v/>
      </c>
      <c r="J61" s="7" t="str">
        <f aca="false">IF(H61="","",Preço!$D$7+MAX(0,MIN(H61,Preço!$C$8)-Preço!$C$7)*Preço!$D$8+MAX(0,MIN(H61,Preço!$C$9)-Preço!$C$8)*Preço!$D$9+MAX(0,H61-Preço!$C$9)*Preço!$D$10)</f>
        <v/>
      </c>
      <c r="K61" s="7" t="str">
        <f aca="false">IF(H61="","",J61*12)</f>
        <v/>
      </c>
      <c r="L61" s="8"/>
      <c r="M61" s="8"/>
      <c r="N61" s="8"/>
      <c r="O61" s="8"/>
    </row>
    <row r="62" customFormat="false" ht="15" hidden="false" customHeight="false" outlineLevel="0" collapsed="false">
      <c r="B62" s="4" t="n">
        <v>56</v>
      </c>
      <c r="C62" s="5" t="s">
        <v>130</v>
      </c>
      <c r="D62" s="5" t="s">
        <v>131</v>
      </c>
      <c r="E62" s="5" t="s">
        <v>18</v>
      </c>
      <c r="F62" s="5" t="s">
        <v>19</v>
      </c>
      <c r="G62" s="4"/>
      <c r="H62" s="6"/>
      <c r="I62" s="4" t="str">
        <f aca="false">IF(H62="","",IF(H62&lt;=Preço!$C$7,Preço!$B$7,IF(H62&lt;=Preço!$C$8,Preço!$B$8,IF(H62&lt;=Preço!$C$9,Preço!$B$9,Preço!$B$10))))</f>
        <v/>
      </c>
      <c r="J62" s="7" t="str">
        <f aca="false">IF(H62="","",Preço!$D$7+MAX(0,MIN(H62,Preço!$C$8)-Preço!$C$7)*Preço!$D$8+MAX(0,MIN(H62,Preço!$C$9)-Preço!$C$8)*Preço!$D$9+MAX(0,H62-Preço!$C$9)*Preço!$D$10)</f>
        <v/>
      </c>
      <c r="K62" s="7" t="str">
        <f aca="false">IF(H62="","",J62*12)</f>
        <v/>
      </c>
      <c r="L62" s="8"/>
      <c r="M62" s="8"/>
      <c r="N62" s="8"/>
      <c r="O62" s="8"/>
    </row>
    <row r="63" customFormat="false" ht="15" hidden="false" customHeight="false" outlineLevel="0" collapsed="false">
      <c r="B63" s="4" t="n">
        <v>57</v>
      </c>
      <c r="C63" s="5" t="s">
        <v>132</v>
      </c>
      <c r="D63" s="5" t="s">
        <v>133</v>
      </c>
      <c r="E63" s="5" t="s">
        <v>134</v>
      </c>
      <c r="F63" s="5" t="s">
        <v>19</v>
      </c>
      <c r="G63" s="4"/>
      <c r="H63" s="6"/>
      <c r="I63" s="4" t="str">
        <f aca="false">IF(H63="","",IF(H63&lt;=Preço!$C$7,Preço!$B$7,IF(H63&lt;=Preço!$C$8,Preço!$B$8,IF(H63&lt;=Preço!$C$9,Preço!$B$9,Preço!$B$10))))</f>
        <v/>
      </c>
      <c r="J63" s="7" t="str">
        <f aca="false">IF(H63="","",Preço!$D$7+MAX(0,MIN(H63,Preço!$C$8)-Preço!$C$7)*Preço!$D$8+MAX(0,MIN(H63,Preço!$C$9)-Preço!$C$8)*Preço!$D$9+MAX(0,H63-Preço!$C$9)*Preço!$D$10)</f>
        <v/>
      </c>
      <c r="K63" s="7" t="str">
        <f aca="false">IF(H63="","",J63*12)</f>
        <v/>
      </c>
      <c r="L63" s="8"/>
      <c r="M63" s="8"/>
      <c r="N63" s="8"/>
      <c r="O63" s="8"/>
    </row>
    <row r="64" customFormat="false" ht="15" hidden="false" customHeight="false" outlineLevel="0" collapsed="false">
      <c r="B64" s="4" t="n">
        <v>58</v>
      </c>
      <c r="C64" s="5" t="s">
        <v>135</v>
      </c>
      <c r="D64" s="5" t="s">
        <v>136</v>
      </c>
      <c r="E64" s="5" t="s">
        <v>137</v>
      </c>
      <c r="F64" s="5" t="s">
        <v>19</v>
      </c>
      <c r="G64" s="4"/>
      <c r="H64" s="6"/>
      <c r="I64" s="4" t="str">
        <f aca="false">IF(H64="","",IF(H64&lt;=Preço!$C$7,Preço!$B$7,IF(H64&lt;=Preço!$C$8,Preço!$B$8,IF(H64&lt;=Preço!$C$9,Preço!$B$9,Preço!$B$10))))</f>
        <v/>
      </c>
      <c r="J64" s="7" t="str">
        <f aca="false">IF(H64="","",Preço!$D$7+MAX(0,MIN(H64,Preço!$C$8)-Preço!$C$7)*Preço!$D$8+MAX(0,MIN(H64,Preço!$C$9)-Preço!$C$8)*Preço!$D$9+MAX(0,H64-Preço!$C$9)*Preço!$D$10)</f>
        <v/>
      </c>
      <c r="K64" s="7" t="str">
        <f aca="false">IF(H64="","",J64*12)</f>
        <v/>
      </c>
      <c r="L64" s="8"/>
      <c r="M64" s="8"/>
      <c r="N64" s="8"/>
      <c r="O64" s="8"/>
    </row>
    <row r="65" customFormat="false" ht="15" hidden="false" customHeight="false" outlineLevel="0" collapsed="false">
      <c r="B65" s="4" t="n">
        <v>59</v>
      </c>
      <c r="C65" s="5" t="s">
        <v>138</v>
      </c>
      <c r="D65" s="5" t="s">
        <v>139</v>
      </c>
      <c r="E65" s="5" t="s">
        <v>137</v>
      </c>
      <c r="F65" s="5" t="s">
        <v>19</v>
      </c>
      <c r="G65" s="4"/>
      <c r="H65" s="6"/>
      <c r="I65" s="4" t="str">
        <f aca="false">IF(H65="","",IF(H65&lt;=Preço!$C$7,Preço!$B$7,IF(H65&lt;=Preço!$C$8,Preço!$B$8,IF(H65&lt;=Preço!$C$9,Preço!$B$9,Preço!$B$10))))</f>
        <v/>
      </c>
      <c r="J65" s="7" t="str">
        <f aca="false">IF(H65="","",Preço!$D$7+MAX(0,MIN(H65,Preço!$C$8)-Preço!$C$7)*Preço!$D$8+MAX(0,MIN(H65,Preço!$C$9)-Preço!$C$8)*Preço!$D$9+MAX(0,H65-Preço!$C$9)*Preço!$D$10)</f>
        <v/>
      </c>
      <c r="K65" s="7" t="str">
        <f aca="false">IF(H65="","",J65*12)</f>
        <v/>
      </c>
      <c r="L65" s="8"/>
      <c r="M65" s="8"/>
      <c r="N65" s="8"/>
      <c r="O65" s="8"/>
    </row>
    <row r="66" customFormat="false" ht="15" hidden="false" customHeight="false" outlineLevel="0" collapsed="false">
      <c r="B66" s="4" t="n">
        <v>60</v>
      </c>
      <c r="C66" s="5" t="s">
        <v>140</v>
      </c>
      <c r="D66" s="5" t="s">
        <v>141</v>
      </c>
      <c r="E66" s="5" t="s">
        <v>137</v>
      </c>
      <c r="F66" s="5" t="s">
        <v>19</v>
      </c>
      <c r="G66" s="4"/>
      <c r="H66" s="6"/>
      <c r="I66" s="4" t="str">
        <f aca="false">IF(H66="","",IF(H66&lt;=Preço!$C$7,Preço!$B$7,IF(H66&lt;=Preço!$C$8,Preço!$B$8,IF(H66&lt;=Preço!$C$9,Preço!$B$9,Preço!$B$10))))</f>
        <v/>
      </c>
      <c r="J66" s="7" t="str">
        <f aca="false">IF(H66="","",Preço!$D$7+MAX(0,MIN(H66,Preço!$C$8)-Preço!$C$7)*Preço!$D$8+MAX(0,MIN(H66,Preço!$C$9)-Preço!$C$8)*Preço!$D$9+MAX(0,H66-Preço!$C$9)*Preço!$D$10)</f>
        <v/>
      </c>
      <c r="K66" s="7" t="str">
        <f aca="false">IF(H66="","",J66*12)</f>
        <v/>
      </c>
      <c r="L66" s="8"/>
      <c r="M66" s="8"/>
      <c r="N66" s="8"/>
      <c r="O66" s="8"/>
    </row>
    <row r="67" customFormat="false" ht="15" hidden="false" customHeight="false" outlineLevel="0" collapsed="false">
      <c r="B67" s="4" t="n">
        <v>61</v>
      </c>
      <c r="C67" s="5" t="s">
        <v>142</v>
      </c>
      <c r="D67" s="5" t="s">
        <v>143</v>
      </c>
      <c r="E67" s="5" t="s">
        <v>137</v>
      </c>
      <c r="F67" s="5" t="s">
        <v>19</v>
      </c>
      <c r="G67" s="4"/>
      <c r="H67" s="6"/>
      <c r="I67" s="4" t="str">
        <f aca="false">IF(H67="","",IF(H67&lt;=Preço!$C$7,Preço!$B$7,IF(H67&lt;=Preço!$C$8,Preço!$B$8,IF(H67&lt;=Preço!$C$9,Preço!$B$9,Preço!$B$10))))</f>
        <v/>
      </c>
      <c r="J67" s="7" t="str">
        <f aca="false">IF(H67="","",Preço!$D$7+MAX(0,MIN(H67,Preço!$C$8)-Preço!$C$7)*Preço!$D$8+MAX(0,MIN(H67,Preço!$C$9)-Preço!$C$8)*Preço!$D$9+MAX(0,H67-Preço!$C$9)*Preço!$D$10)</f>
        <v/>
      </c>
      <c r="K67" s="7" t="str">
        <f aca="false">IF(H67="","",J67*12)</f>
        <v/>
      </c>
      <c r="L67" s="8"/>
      <c r="M67" s="8"/>
      <c r="N67" s="8"/>
      <c r="O67" s="8"/>
    </row>
    <row r="68" customFormat="false" ht="15" hidden="false" customHeight="false" outlineLevel="0" collapsed="false">
      <c r="B68" s="9" t="n">
        <v>62</v>
      </c>
      <c r="C68" s="10" t="s">
        <v>144</v>
      </c>
      <c r="D68" s="10" t="s">
        <v>145</v>
      </c>
      <c r="E68" s="10" t="s">
        <v>146</v>
      </c>
      <c r="F68" s="10" t="s">
        <v>19</v>
      </c>
      <c r="G68" s="11" t="s">
        <v>53</v>
      </c>
      <c r="H68" s="6"/>
      <c r="I68" s="9" t="str">
        <f aca="false">IF(H68="","",IF(H68&lt;=Preço!$C$7,Preço!$B$7,IF(H68&lt;=Preço!$C$8,Preço!$B$8,IF(H68&lt;=Preço!$C$9,Preço!$B$9,Preço!$B$10))))</f>
        <v/>
      </c>
      <c r="J68" s="12" t="str">
        <f aca="false">IF(H68="","",Preço!$D$7+MAX(0,MIN(H68,Preço!$C$8)-Preço!$C$7)*Preço!$D$8+MAX(0,MIN(H68,Preço!$C$9)-Preço!$C$8)*Preço!$D$9+MAX(0,H68-Preço!$C$9)*Preço!$D$10)</f>
        <v/>
      </c>
      <c r="K68" s="12" t="str">
        <f aca="false">IF(H68="","",J68*12)</f>
        <v/>
      </c>
      <c r="L68" s="8"/>
      <c r="M68" s="8"/>
      <c r="N68" s="8"/>
      <c r="O68" s="8"/>
    </row>
    <row r="69" customFormat="false" ht="15" hidden="false" customHeight="false" outlineLevel="0" collapsed="false">
      <c r="B69" s="4" t="n">
        <v>63</v>
      </c>
      <c r="C69" s="5" t="s">
        <v>147</v>
      </c>
      <c r="D69" s="5" t="s">
        <v>148</v>
      </c>
      <c r="E69" s="5" t="s">
        <v>149</v>
      </c>
      <c r="F69" s="5" t="s">
        <v>19</v>
      </c>
      <c r="G69" s="4"/>
      <c r="H69" s="6"/>
      <c r="I69" s="4" t="str">
        <f aca="false">IF(H69="","",IF(H69&lt;=Preço!$C$7,Preço!$B$7,IF(H69&lt;=Preço!$C$8,Preço!$B$8,IF(H69&lt;=Preço!$C$9,Preço!$B$9,Preço!$B$10))))</f>
        <v/>
      </c>
      <c r="J69" s="7" t="str">
        <f aca="false">IF(H69="","",Preço!$D$7+MAX(0,MIN(H69,Preço!$C$8)-Preço!$C$7)*Preço!$D$8+MAX(0,MIN(H69,Preço!$C$9)-Preço!$C$8)*Preço!$D$9+MAX(0,H69-Preço!$C$9)*Preço!$D$10)</f>
        <v/>
      </c>
      <c r="K69" s="7" t="str">
        <f aca="false">IF(H69="","",J69*12)</f>
        <v/>
      </c>
      <c r="L69" s="8"/>
      <c r="M69" s="8"/>
      <c r="N69" s="8"/>
      <c r="O69" s="8"/>
    </row>
    <row r="70" customFormat="false" ht="15" hidden="false" customHeight="false" outlineLevel="0" collapsed="false">
      <c r="B70" s="4" t="n">
        <v>64</v>
      </c>
      <c r="C70" s="5" t="s">
        <v>150</v>
      </c>
      <c r="D70" s="5" t="s">
        <v>151</v>
      </c>
      <c r="E70" s="5" t="s">
        <v>152</v>
      </c>
      <c r="F70" s="5" t="s">
        <v>19</v>
      </c>
      <c r="G70" s="4"/>
      <c r="H70" s="6"/>
      <c r="I70" s="4" t="str">
        <f aca="false">IF(H70="","",IF(H70&lt;=Preço!$C$7,Preço!$B$7,IF(H70&lt;=Preço!$C$8,Preço!$B$8,IF(H70&lt;=Preço!$C$9,Preço!$B$9,Preço!$B$10))))</f>
        <v/>
      </c>
      <c r="J70" s="7" t="str">
        <f aca="false">IF(H70="","",Preço!$D$7+MAX(0,MIN(H70,Preço!$C$8)-Preço!$C$7)*Preço!$D$8+MAX(0,MIN(H70,Preço!$C$9)-Preço!$C$8)*Preço!$D$9+MAX(0,H70-Preço!$C$9)*Preço!$D$10)</f>
        <v/>
      </c>
      <c r="K70" s="7" t="str">
        <f aca="false">IF(H70="","",J70*12)</f>
        <v/>
      </c>
      <c r="L70" s="8"/>
      <c r="M70" s="8"/>
      <c r="N70" s="8"/>
      <c r="O70" s="8"/>
    </row>
    <row r="71" customFormat="false" ht="15" hidden="false" customHeight="false" outlineLevel="0" collapsed="false">
      <c r="B71" s="4" t="n">
        <v>65</v>
      </c>
      <c r="C71" s="5" t="s">
        <v>153</v>
      </c>
      <c r="D71" s="5" t="s">
        <v>154</v>
      </c>
      <c r="E71" s="5" t="s">
        <v>152</v>
      </c>
      <c r="F71" s="5" t="s">
        <v>19</v>
      </c>
      <c r="G71" s="4"/>
      <c r="H71" s="6"/>
      <c r="I71" s="4" t="str">
        <f aca="false">IF(H71="","",IF(H71&lt;=Preço!$C$7,Preço!$B$7,IF(H71&lt;=Preço!$C$8,Preço!$B$8,IF(H71&lt;=Preço!$C$9,Preço!$B$9,Preço!$B$10))))</f>
        <v/>
      </c>
      <c r="J71" s="7" t="str">
        <f aca="false">IF(H71="","",Preço!$D$7+MAX(0,MIN(H71,Preço!$C$8)-Preço!$C$7)*Preço!$D$8+MAX(0,MIN(H71,Preço!$C$9)-Preço!$C$8)*Preço!$D$9+MAX(0,H71-Preço!$C$9)*Preço!$D$10)</f>
        <v/>
      </c>
      <c r="K71" s="7" t="str">
        <f aca="false">IF(H71="","",J71*12)</f>
        <v/>
      </c>
      <c r="L71" s="8"/>
      <c r="M71" s="8"/>
      <c r="N71" s="8"/>
      <c r="O71" s="8"/>
    </row>
    <row r="72" customFormat="false" ht="15" hidden="false" customHeight="false" outlineLevel="0" collapsed="false">
      <c r="B72" s="4" t="n">
        <v>66</v>
      </c>
      <c r="C72" s="5" t="s">
        <v>155</v>
      </c>
      <c r="D72" s="5" t="s">
        <v>156</v>
      </c>
      <c r="E72" s="5" t="s">
        <v>157</v>
      </c>
      <c r="F72" s="5" t="s">
        <v>19</v>
      </c>
      <c r="G72" s="4"/>
      <c r="H72" s="6"/>
      <c r="I72" s="4" t="str">
        <f aca="false">IF(H72="","",IF(H72&lt;=Preço!$C$7,Preço!$B$7,IF(H72&lt;=Preço!$C$8,Preço!$B$8,IF(H72&lt;=Preço!$C$9,Preço!$B$9,Preço!$B$10))))</f>
        <v/>
      </c>
      <c r="J72" s="7" t="str">
        <f aca="false">IF(H72="","",Preço!$D$7+MAX(0,MIN(H72,Preço!$C$8)-Preço!$C$7)*Preço!$D$8+MAX(0,MIN(H72,Preço!$C$9)-Preço!$C$8)*Preço!$D$9+MAX(0,H72-Preço!$C$9)*Preço!$D$10)</f>
        <v/>
      </c>
      <c r="K72" s="7" t="str">
        <f aca="false">IF(H72="","",J72*12)</f>
        <v/>
      </c>
      <c r="L72" s="8"/>
      <c r="M72" s="8"/>
      <c r="N72" s="8"/>
      <c r="O72" s="8"/>
    </row>
    <row r="73" customFormat="false" ht="15" hidden="false" customHeight="false" outlineLevel="0" collapsed="false">
      <c r="B73" s="4" t="n">
        <v>67</v>
      </c>
      <c r="C73" s="5" t="s">
        <v>158</v>
      </c>
      <c r="D73" s="5" t="s">
        <v>159</v>
      </c>
      <c r="E73" s="5" t="s">
        <v>160</v>
      </c>
      <c r="F73" s="5" t="s">
        <v>19</v>
      </c>
      <c r="G73" s="4"/>
      <c r="H73" s="6"/>
      <c r="I73" s="4" t="str">
        <f aca="false">IF(H73="","",IF(H73&lt;=Preço!$C$7,Preço!$B$7,IF(H73&lt;=Preço!$C$8,Preço!$B$8,IF(H73&lt;=Preço!$C$9,Preço!$B$9,Preço!$B$10))))</f>
        <v/>
      </c>
      <c r="J73" s="7" t="str">
        <f aca="false">IF(H73="","",Preço!$D$7+MAX(0,MIN(H73,Preço!$C$8)-Preço!$C$7)*Preço!$D$8+MAX(0,MIN(H73,Preço!$C$9)-Preço!$C$8)*Preço!$D$9+MAX(0,H73-Preço!$C$9)*Preço!$D$10)</f>
        <v/>
      </c>
      <c r="K73" s="7" t="str">
        <f aca="false">IF(H73="","",J73*12)</f>
        <v/>
      </c>
      <c r="L73" s="8"/>
      <c r="M73" s="8"/>
      <c r="N73" s="8"/>
      <c r="O73" s="8"/>
    </row>
    <row r="74" customFormat="false" ht="15" hidden="false" customHeight="false" outlineLevel="0" collapsed="false">
      <c r="B74" s="4" t="n">
        <v>68</v>
      </c>
      <c r="C74" s="5" t="s">
        <v>161</v>
      </c>
      <c r="D74" s="5" t="s">
        <v>162</v>
      </c>
      <c r="E74" s="5" t="s">
        <v>163</v>
      </c>
      <c r="F74" s="5" t="s">
        <v>164</v>
      </c>
      <c r="G74" s="4"/>
      <c r="H74" s="6"/>
      <c r="I74" s="4" t="str">
        <f aca="false">IF(H74="","",IF(H74&lt;=Preço!$C$7,Preço!$B$7,IF(H74&lt;=Preço!$C$8,Preço!$B$8,IF(H74&lt;=Preço!$C$9,Preço!$B$9,Preço!$B$10))))</f>
        <v/>
      </c>
      <c r="J74" s="7" t="str">
        <f aca="false">IF(H74="","",Preço!$D$7+MAX(0,MIN(H74,Preço!$C$8)-Preço!$C$7)*Preço!$D$8+MAX(0,MIN(H74,Preço!$C$9)-Preço!$C$8)*Preço!$D$9+MAX(0,H74-Preço!$C$9)*Preço!$D$10)</f>
        <v/>
      </c>
      <c r="K74" s="7" t="str">
        <f aca="false">IF(H74="","",J74*12)</f>
        <v/>
      </c>
      <c r="L74" s="8"/>
      <c r="M74" s="8"/>
      <c r="N74" s="8"/>
      <c r="O74" s="8"/>
    </row>
    <row r="75" customFormat="false" ht="15" hidden="false" customHeight="false" outlineLevel="0" collapsed="false">
      <c r="B75" s="4" t="n">
        <v>69</v>
      </c>
      <c r="C75" s="5" t="s">
        <v>165</v>
      </c>
      <c r="D75" s="5" t="s">
        <v>166</v>
      </c>
      <c r="E75" s="5" t="s">
        <v>167</v>
      </c>
      <c r="F75" s="5" t="s">
        <v>19</v>
      </c>
      <c r="G75" s="4"/>
      <c r="H75" s="6"/>
      <c r="I75" s="4" t="str">
        <f aca="false">IF(H75="","",IF(H75&lt;=Preço!$C$7,Preço!$B$7,IF(H75&lt;=Preço!$C$8,Preço!$B$8,IF(H75&lt;=Preço!$C$9,Preço!$B$9,Preço!$B$10))))</f>
        <v/>
      </c>
      <c r="J75" s="7" t="str">
        <f aca="false">IF(H75="","",Preço!$D$7+MAX(0,MIN(H75,Preço!$C$8)-Preço!$C$7)*Preço!$D$8+MAX(0,MIN(H75,Preço!$C$9)-Preço!$C$8)*Preço!$D$9+MAX(0,H75-Preço!$C$9)*Preço!$D$10)</f>
        <v/>
      </c>
      <c r="K75" s="7" t="str">
        <f aca="false">IF(H75="","",J75*12)</f>
        <v/>
      </c>
      <c r="L75" s="8"/>
      <c r="M75" s="8"/>
      <c r="N75" s="8"/>
      <c r="O75" s="8"/>
    </row>
    <row r="76" customFormat="false" ht="15" hidden="false" customHeight="false" outlineLevel="0" collapsed="false">
      <c r="B76" s="4" t="n">
        <v>70</v>
      </c>
      <c r="C76" s="5" t="s">
        <v>168</v>
      </c>
      <c r="D76" s="5" t="s">
        <v>169</v>
      </c>
      <c r="E76" s="5" t="s">
        <v>167</v>
      </c>
      <c r="F76" s="5" t="s">
        <v>19</v>
      </c>
      <c r="G76" s="4"/>
      <c r="H76" s="6"/>
      <c r="I76" s="4" t="str">
        <f aca="false">IF(H76="","",IF(H76&lt;=Preço!$C$7,Preço!$B$7,IF(H76&lt;=Preço!$C$8,Preço!$B$8,IF(H76&lt;=Preço!$C$9,Preço!$B$9,Preço!$B$10))))</f>
        <v/>
      </c>
      <c r="J76" s="7" t="str">
        <f aca="false">IF(H76="","",Preço!$D$7+MAX(0,MIN(H76,Preço!$C$8)-Preço!$C$7)*Preço!$D$8+MAX(0,MIN(H76,Preço!$C$9)-Preço!$C$8)*Preço!$D$9+MAX(0,H76-Preço!$C$9)*Preço!$D$10)</f>
        <v/>
      </c>
      <c r="K76" s="7" t="str">
        <f aca="false">IF(H76="","",J76*12)</f>
        <v/>
      </c>
      <c r="L76" s="8"/>
      <c r="M76" s="8"/>
      <c r="N76" s="8"/>
      <c r="O76" s="8"/>
    </row>
    <row r="77" customFormat="false" ht="15" hidden="false" customHeight="false" outlineLevel="0" collapsed="false">
      <c r="B77" s="4" t="n">
        <v>71</v>
      </c>
      <c r="C77" s="5" t="s">
        <v>170</v>
      </c>
      <c r="D77" s="5" t="s">
        <v>171</v>
      </c>
      <c r="E77" s="5" t="s">
        <v>167</v>
      </c>
      <c r="F77" s="5" t="s">
        <v>19</v>
      </c>
      <c r="G77" s="4"/>
      <c r="H77" s="6"/>
      <c r="I77" s="4" t="str">
        <f aca="false">IF(H77="","",IF(H77&lt;=Preço!$C$7,Preço!$B$7,IF(H77&lt;=Preço!$C$8,Preço!$B$8,IF(H77&lt;=Preço!$C$9,Preço!$B$9,Preço!$B$10))))</f>
        <v/>
      </c>
      <c r="J77" s="7" t="str">
        <f aca="false">IF(H77="","",Preço!$D$7+MAX(0,MIN(H77,Preço!$C$8)-Preço!$C$7)*Preço!$D$8+MAX(0,MIN(H77,Preço!$C$9)-Preço!$C$8)*Preço!$D$9+MAX(0,H77-Preço!$C$9)*Preço!$D$10)</f>
        <v/>
      </c>
      <c r="K77" s="7" t="str">
        <f aca="false">IF(H77="","",J77*12)</f>
        <v/>
      </c>
      <c r="L77" s="8"/>
      <c r="M77" s="8"/>
      <c r="N77" s="8"/>
      <c r="O77" s="8"/>
    </row>
    <row r="78" customFormat="false" ht="15" hidden="false" customHeight="false" outlineLevel="0" collapsed="false">
      <c r="B78" s="4" t="n">
        <v>72</v>
      </c>
      <c r="C78" s="5" t="s">
        <v>172</v>
      </c>
      <c r="D78" s="5" t="s">
        <v>173</v>
      </c>
      <c r="E78" s="5" t="s">
        <v>174</v>
      </c>
      <c r="F78" s="5" t="s">
        <v>19</v>
      </c>
      <c r="G78" s="4"/>
      <c r="H78" s="6"/>
      <c r="I78" s="4" t="str">
        <f aca="false">IF(H78="","",IF(H78&lt;=Preço!$C$7,Preço!$B$7,IF(H78&lt;=Preço!$C$8,Preço!$B$8,IF(H78&lt;=Preço!$C$9,Preço!$B$9,Preço!$B$10))))</f>
        <v/>
      </c>
      <c r="J78" s="7" t="str">
        <f aca="false">IF(H78="","",Preço!$D$7+MAX(0,MIN(H78,Preço!$C$8)-Preço!$C$7)*Preço!$D$8+MAX(0,MIN(H78,Preço!$C$9)-Preço!$C$8)*Preço!$D$9+MAX(0,H78-Preço!$C$9)*Preço!$D$10)</f>
        <v/>
      </c>
      <c r="K78" s="7" t="str">
        <f aca="false">IF(H78="","",J78*12)</f>
        <v/>
      </c>
      <c r="L78" s="8"/>
      <c r="M78" s="8"/>
      <c r="N78" s="8"/>
      <c r="O78" s="8"/>
    </row>
    <row r="79" customFormat="false" ht="15" hidden="false" customHeight="false" outlineLevel="0" collapsed="false">
      <c r="B79" s="4" t="n">
        <v>73</v>
      </c>
      <c r="C79" s="5" t="s">
        <v>175</v>
      </c>
      <c r="D79" s="5" t="s">
        <v>176</v>
      </c>
      <c r="E79" s="5" t="s">
        <v>174</v>
      </c>
      <c r="F79" s="5" t="s">
        <v>19</v>
      </c>
      <c r="G79" s="4"/>
      <c r="H79" s="6"/>
      <c r="I79" s="4" t="str">
        <f aca="false">IF(H79="","",IF(H79&lt;=Preço!$C$7,Preço!$B$7,IF(H79&lt;=Preço!$C$8,Preço!$B$8,IF(H79&lt;=Preço!$C$9,Preço!$B$9,Preço!$B$10))))</f>
        <v/>
      </c>
      <c r="J79" s="7" t="str">
        <f aca="false">IF(H79="","",Preço!$D$7+MAX(0,MIN(H79,Preço!$C$8)-Preço!$C$7)*Preço!$D$8+MAX(0,MIN(H79,Preço!$C$9)-Preço!$C$8)*Preço!$D$9+MAX(0,H79-Preço!$C$9)*Preço!$D$10)</f>
        <v/>
      </c>
      <c r="K79" s="7" t="str">
        <f aca="false">IF(H79="","",J79*12)</f>
        <v/>
      </c>
      <c r="L79" s="8"/>
      <c r="M79" s="8"/>
      <c r="N79" s="8"/>
      <c r="O79" s="8"/>
    </row>
    <row r="80" customFormat="false" ht="15" hidden="false" customHeight="false" outlineLevel="0" collapsed="false">
      <c r="B80" s="4" t="n">
        <v>74</v>
      </c>
      <c r="C80" s="5" t="s">
        <v>177</v>
      </c>
      <c r="D80" s="5" t="s">
        <v>178</v>
      </c>
      <c r="E80" s="5" t="s">
        <v>174</v>
      </c>
      <c r="F80" s="5" t="s">
        <v>19</v>
      </c>
      <c r="G80" s="4"/>
      <c r="H80" s="6" t="n">
        <v>160</v>
      </c>
      <c r="I80" s="4" t="str">
        <f aca="false">IF(H80="","",IF(H80&lt;=Preço!$C$7,Preço!$B$7,IF(H80&lt;=Preço!$C$8,Preço!$B$8,IF(H80&lt;=Preço!$C$9,Preço!$B$9,Preço!$B$10))))</f>
        <v>Corporativo</v>
      </c>
      <c r="J80" s="7" t="n">
        <f aca="false">IF(H80="","",Preço!$D$7+MAX(0,MIN(H80,Preço!$C$8)-Preço!$C$7)*Preço!$D$8+MAX(0,MIN(H80,Preço!$C$9)-Preço!$C$8)*Preço!$D$9+MAX(0,H80-Preço!$C$9)*Preço!$D$10)</f>
        <v>1605</v>
      </c>
      <c r="K80" s="7" t="n">
        <f aca="false">IF(H80="","",J80*12)</f>
        <v>19260</v>
      </c>
      <c r="L80" s="8"/>
      <c r="M80" s="8"/>
      <c r="N80" s="8"/>
      <c r="O80" s="8" t="s">
        <v>179</v>
      </c>
    </row>
    <row r="81" customFormat="false" ht="15" hidden="false" customHeight="false" outlineLevel="0" collapsed="false">
      <c r="B81" s="9" t="n">
        <v>75</v>
      </c>
      <c r="C81" s="10" t="s">
        <v>180</v>
      </c>
      <c r="D81" s="10" t="s">
        <v>181</v>
      </c>
      <c r="E81" s="10" t="s">
        <v>182</v>
      </c>
      <c r="F81" s="10" t="s">
        <v>19</v>
      </c>
      <c r="G81" s="11" t="s">
        <v>53</v>
      </c>
      <c r="H81" s="6"/>
      <c r="I81" s="9" t="str">
        <f aca="false">IF(H81="","",IF(H81&lt;=Preço!$C$7,Preço!$B$7,IF(H81&lt;=Preço!$C$8,Preço!$B$8,IF(H81&lt;=Preço!$C$9,Preço!$B$9,Preço!$B$10))))</f>
        <v/>
      </c>
      <c r="J81" s="12" t="str">
        <f aca="false">IF(H81="","",Preço!$D$7+MAX(0,MIN(H81,Preço!$C$8)-Preço!$C$7)*Preço!$D$8+MAX(0,MIN(H81,Preço!$C$9)-Preço!$C$8)*Preço!$D$9+MAX(0,H81-Preço!$C$9)*Preço!$D$10)</f>
        <v/>
      </c>
      <c r="K81" s="12" t="str">
        <f aca="false">IF(H81="","",J81*12)</f>
        <v/>
      </c>
      <c r="L81" s="8"/>
      <c r="M81" s="8"/>
      <c r="N81" s="8"/>
      <c r="O81" s="8"/>
    </row>
    <row r="82" customFormat="false" ht="15" hidden="false" customHeight="false" outlineLevel="0" collapsed="false">
      <c r="B82" s="4" t="n">
        <v>76</v>
      </c>
      <c r="C82" s="5" t="s">
        <v>183</v>
      </c>
      <c r="D82" s="5" t="s">
        <v>184</v>
      </c>
      <c r="E82" s="5" t="s">
        <v>185</v>
      </c>
      <c r="F82" s="5" t="s">
        <v>19</v>
      </c>
      <c r="G82" s="4"/>
      <c r="H82" s="6"/>
      <c r="I82" s="4" t="str">
        <f aca="false">IF(H82="","",IF(H82&lt;=Preço!$C$7,Preço!$B$7,IF(H82&lt;=Preço!$C$8,Preço!$B$8,IF(H82&lt;=Preço!$C$9,Preço!$B$9,Preço!$B$10))))</f>
        <v/>
      </c>
      <c r="J82" s="7" t="str">
        <f aca="false">IF(H82="","",Preço!$D$7+MAX(0,MIN(H82,Preço!$C$8)-Preço!$C$7)*Preço!$D$8+MAX(0,MIN(H82,Preço!$C$9)-Preço!$C$8)*Preço!$D$9+MAX(0,H82-Preço!$C$9)*Preço!$D$10)</f>
        <v/>
      </c>
      <c r="K82" s="7" t="str">
        <f aca="false">IF(H82="","",J82*12)</f>
        <v/>
      </c>
      <c r="L82" s="8"/>
      <c r="M82" s="8"/>
      <c r="N82" s="8"/>
      <c r="O82" s="8"/>
    </row>
    <row r="83" customFormat="false" ht="15" hidden="false" customHeight="false" outlineLevel="0" collapsed="false">
      <c r="B83" s="9" t="n">
        <v>77</v>
      </c>
      <c r="C83" s="10" t="s">
        <v>186</v>
      </c>
      <c r="D83" s="10" t="s">
        <v>187</v>
      </c>
      <c r="E83" s="10" t="s">
        <v>188</v>
      </c>
      <c r="F83" s="10" t="s">
        <v>19</v>
      </c>
      <c r="G83" s="11" t="s">
        <v>53</v>
      </c>
      <c r="H83" s="6"/>
      <c r="I83" s="9" t="str">
        <f aca="false">IF(H83="","",IF(H83&lt;=Preço!$C$7,Preço!$B$7,IF(H83&lt;=Preço!$C$8,Preço!$B$8,IF(H83&lt;=Preço!$C$9,Preço!$B$9,Preço!$B$10))))</f>
        <v/>
      </c>
      <c r="J83" s="12" t="str">
        <f aca="false">IF(H83="","",Preço!$D$7+MAX(0,MIN(H83,Preço!$C$8)-Preço!$C$7)*Preço!$D$8+MAX(0,MIN(H83,Preço!$C$9)-Preço!$C$8)*Preço!$D$9+MAX(0,H83-Preço!$C$9)*Preço!$D$10)</f>
        <v/>
      </c>
      <c r="K83" s="12" t="str">
        <f aca="false">IF(H83="","",J83*12)</f>
        <v/>
      </c>
      <c r="L83" s="8"/>
      <c r="M83" s="8"/>
      <c r="N83" s="8"/>
      <c r="O83" s="8"/>
    </row>
    <row r="84" customFormat="false" ht="15" hidden="false" customHeight="false" outlineLevel="0" collapsed="false">
      <c r="B84" s="4" t="n">
        <v>78</v>
      </c>
      <c r="C84" s="5" t="s">
        <v>189</v>
      </c>
      <c r="D84" s="5" t="s">
        <v>190</v>
      </c>
      <c r="E84" s="5" t="s">
        <v>191</v>
      </c>
      <c r="F84" s="5" t="s">
        <v>32</v>
      </c>
      <c r="G84" s="4"/>
      <c r="H84" s="6"/>
      <c r="I84" s="4" t="str">
        <f aca="false">IF(H84="","",IF(H84&lt;=Preço!$C$7,Preço!$B$7,IF(H84&lt;=Preço!$C$8,Preço!$B$8,IF(H84&lt;=Preço!$C$9,Preço!$B$9,Preço!$B$10))))</f>
        <v/>
      </c>
      <c r="J84" s="7" t="str">
        <f aca="false">IF(H84="","",Preço!$D$7+MAX(0,MIN(H84,Preço!$C$8)-Preço!$C$7)*Preço!$D$8+MAX(0,MIN(H84,Preço!$C$9)-Preço!$C$8)*Preço!$D$9+MAX(0,H84-Preço!$C$9)*Preço!$D$10)</f>
        <v/>
      </c>
      <c r="K84" s="7" t="str">
        <f aca="false">IF(H84="","",J84*12)</f>
        <v/>
      </c>
      <c r="L84" s="8"/>
      <c r="M84" s="8"/>
      <c r="N84" s="8"/>
      <c r="O84" s="8"/>
    </row>
    <row r="85" customFormat="false" ht="15" hidden="false" customHeight="false" outlineLevel="0" collapsed="false">
      <c r="B85" s="4" t="n">
        <v>79</v>
      </c>
      <c r="C85" s="5" t="s">
        <v>192</v>
      </c>
      <c r="D85" s="5" t="s">
        <v>193</v>
      </c>
      <c r="E85" s="5" t="s">
        <v>194</v>
      </c>
      <c r="F85" s="5" t="s">
        <v>19</v>
      </c>
      <c r="G85" s="4"/>
      <c r="H85" s="6"/>
      <c r="I85" s="4" t="str">
        <f aca="false">IF(H85="","",IF(H85&lt;=Preço!$C$7,Preço!$B$7,IF(H85&lt;=Preço!$C$8,Preço!$B$8,IF(H85&lt;=Preço!$C$9,Preço!$B$9,Preço!$B$10))))</f>
        <v/>
      </c>
      <c r="J85" s="7" t="str">
        <f aca="false">IF(H85="","",Preço!$D$7+MAX(0,MIN(H85,Preço!$C$8)-Preço!$C$7)*Preço!$D$8+MAX(0,MIN(H85,Preço!$C$9)-Preço!$C$8)*Preço!$D$9+MAX(0,H85-Preço!$C$9)*Preço!$D$10)</f>
        <v/>
      </c>
      <c r="K85" s="7" t="str">
        <f aca="false">IF(H85="","",J85*12)</f>
        <v/>
      </c>
      <c r="L85" s="8"/>
      <c r="M85" s="8"/>
      <c r="N85" s="8"/>
      <c r="O85" s="8"/>
    </row>
    <row r="86" customFormat="false" ht="15" hidden="false" customHeight="false" outlineLevel="0" collapsed="false">
      <c r="B86" s="4" t="n">
        <v>80</v>
      </c>
      <c r="C86" s="5" t="s">
        <v>195</v>
      </c>
      <c r="D86" s="5" t="s">
        <v>196</v>
      </c>
      <c r="E86" s="5" t="s">
        <v>197</v>
      </c>
      <c r="F86" s="5" t="s">
        <v>19</v>
      </c>
      <c r="G86" s="4"/>
      <c r="H86" s="6"/>
      <c r="I86" s="4" t="str">
        <f aca="false">IF(H86="","",IF(H86&lt;=Preço!$C$7,Preço!$B$7,IF(H86&lt;=Preço!$C$8,Preço!$B$8,IF(H86&lt;=Preço!$C$9,Preço!$B$9,Preço!$B$10))))</f>
        <v/>
      </c>
      <c r="J86" s="7" t="str">
        <f aca="false">IF(H86="","",Preço!$D$7+MAX(0,MIN(H86,Preço!$C$8)-Preço!$C$7)*Preço!$D$8+MAX(0,MIN(H86,Preço!$C$9)-Preço!$C$8)*Preço!$D$9+MAX(0,H86-Preço!$C$9)*Preço!$D$10)</f>
        <v/>
      </c>
      <c r="K86" s="7" t="str">
        <f aca="false">IF(H86="","",J86*12)</f>
        <v/>
      </c>
      <c r="L86" s="8"/>
      <c r="M86" s="8"/>
      <c r="N86" s="8"/>
      <c r="O86" s="8"/>
    </row>
    <row r="87" customFormat="false" ht="15" hidden="false" customHeight="false" outlineLevel="0" collapsed="false">
      <c r="B87" s="4" t="n">
        <v>81</v>
      </c>
      <c r="C87" s="5" t="s">
        <v>198</v>
      </c>
      <c r="D87" s="5" t="s">
        <v>199</v>
      </c>
      <c r="E87" s="5" t="s">
        <v>197</v>
      </c>
      <c r="F87" s="5" t="s">
        <v>19</v>
      </c>
      <c r="G87" s="4"/>
      <c r="H87" s="6"/>
      <c r="I87" s="4" t="str">
        <f aca="false">IF(H87="","",IF(H87&lt;=Preço!$C$7,Preço!$B$7,IF(H87&lt;=Preço!$C$8,Preço!$B$8,IF(H87&lt;=Preço!$C$9,Preço!$B$9,Preço!$B$10))))</f>
        <v/>
      </c>
      <c r="J87" s="7" t="str">
        <f aca="false">IF(H87="","",Preço!$D$7+MAX(0,MIN(H87,Preço!$C$8)-Preço!$C$7)*Preço!$D$8+MAX(0,MIN(H87,Preço!$C$9)-Preço!$C$8)*Preço!$D$9+MAX(0,H87-Preço!$C$9)*Preço!$D$10)</f>
        <v/>
      </c>
      <c r="K87" s="7" t="str">
        <f aca="false">IF(H87="","",J87*12)</f>
        <v/>
      </c>
      <c r="L87" s="8"/>
      <c r="M87" s="8"/>
      <c r="N87" s="8"/>
      <c r="O87" s="8"/>
    </row>
    <row r="88" customFormat="false" ht="15" hidden="false" customHeight="false" outlineLevel="0" collapsed="false">
      <c r="B88" s="4" t="n">
        <v>82</v>
      </c>
      <c r="C88" s="5" t="s">
        <v>200</v>
      </c>
      <c r="D88" s="5" t="s">
        <v>201</v>
      </c>
      <c r="E88" s="5" t="s">
        <v>202</v>
      </c>
      <c r="F88" s="5" t="s">
        <v>19</v>
      </c>
      <c r="G88" s="4"/>
      <c r="H88" s="6"/>
      <c r="I88" s="4" t="str">
        <f aca="false">IF(H88="","",IF(H88&lt;=Preço!$C$7,Preço!$B$7,IF(H88&lt;=Preço!$C$8,Preço!$B$8,IF(H88&lt;=Preço!$C$9,Preço!$B$9,Preço!$B$10))))</f>
        <v/>
      </c>
      <c r="J88" s="7" t="str">
        <f aca="false">IF(H88="","",Preço!$D$7+MAX(0,MIN(H88,Preço!$C$8)-Preço!$C$7)*Preço!$D$8+MAX(0,MIN(H88,Preço!$C$9)-Preço!$C$8)*Preço!$D$9+MAX(0,H88-Preço!$C$9)*Preço!$D$10)</f>
        <v/>
      </c>
      <c r="K88" s="7" t="str">
        <f aca="false">IF(H88="","",J88*12)</f>
        <v/>
      </c>
      <c r="L88" s="8"/>
      <c r="M88" s="8"/>
      <c r="N88" s="8"/>
      <c r="O88" s="8"/>
    </row>
    <row r="89" customFormat="false" ht="15" hidden="false" customHeight="false" outlineLevel="0" collapsed="false">
      <c r="B89" s="4" t="n">
        <v>83</v>
      </c>
      <c r="C89" s="5" t="s">
        <v>203</v>
      </c>
      <c r="D89" s="5" t="s">
        <v>204</v>
      </c>
      <c r="E89" s="5" t="s">
        <v>202</v>
      </c>
      <c r="F89" s="5" t="s">
        <v>19</v>
      </c>
      <c r="G89" s="4"/>
      <c r="H89" s="6"/>
      <c r="I89" s="4" t="str">
        <f aca="false">IF(H89="","",IF(H89&lt;=Preço!$C$7,Preço!$B$7,IF(H89&lt;=Preço!$C$8,Preço!$B$8,IF(H89&lt;=Preço!$C$9,Preço!$B$9,Preço!$B$10))))</f>
        <v/>
      </c>
      <c r="J89" s="7" t="str">
        <f aca="false">IF(H89="","",Preço!$D$7+MAX(0,MIN(H89,Preço!$C$8)-Preço!$C$7)*Preço!$D$8+MAX(0,MIN(H89,Preço!$C$9)-Preço!$C$8)*Preço!$D$9+MAX(0,H89-Preço!$C$9)*Preço!$D$10)</f>
        <v/>
      </c>
      <c r="K89" s="7" t="str">
        <f aca="false">IF(H89="","",J89*12)</f>
        <v/>
      </c>
      <c r="L89" s="8"/>
      <c r="M89" s="8"/>
      <c r="N89" s="8"/>
      <c r="O89" s="8"/>
    </row>
    <row r="90" customFormat="false" ht="15" hidden="false" customHeight="false" outlineLevel="0" collapsed="false">
      <c r="B90" s="4" t="n">
        <v>84</v>
      </c>
      <c r="C90" s="5" t="s">
        <v>205</v>
      </c>
      <c r="D90" s="5" t="s">
        <v>206</v>
      </c>
      <c r="E90" s="5" t="s">
        <v>202</v>
      </c>
      <c r="F90" s="5" t="s">
        <v>19</v>
      </c>
      <c r="G90" s="4"/>
      <c r="H90" s="6"/>
      <c r="I90" s="4" t="str">
        <f aca="false">IF(H90="","",IF(H90&lt;=Preço!$C$7,Preço!$B$7,IF(H90&lt;=Preço!$C$8,Preço!$B$8,IF(H90&lt;=Preço!$C$9,Preço!$B$9,Preço!$B$10))))</f>
        <v/>
      </c>
      <c r="J90" s="7" t="str">
        <f aca="false">IF(H90="","",Preço!$D$7+MAX(0,MIN(H90,Preço!$C$8)-Preço!$C$7)*Preço!$D$8+MAX(0,MIN(H90,Preço!$C$9)-Preço!$C$8)*Preço!$D$9+MAX(0,H90-Preço!$C$9)*Preço!$D$10)</f>
        <v/>
      </c>
      <c r="K90" s="7" t="str">
        <f aca="false">IF(H90="","",J90*12)</f>
        <v/>
      </c>
      <c r="L90" s="8"/>
      <c r="M90" s="8"/>
      <c r="N90" s="8"/>
      <c r="O90" s="8"/>
    </row>
    <row r="91" customFormat="false" ht="15" hidden="false" customHeight="false" outlineLevel="0" collapsed="false">
      <c r="B91" s="9" t="n">
        <v>85</v>
      </c>
      <c r="C91" s="10" t="s">
        <v>207</v>
      </c>
      <c r="D91" s="10" t="s">
        <v>208</v>
      </c>
      <c r="E91" s="10" t="s">
        <v>202</v>
      </c>
      <c r="F91" s="10" t="s">
        <v>19</v>
      </c>
      <c r="G91" s="11" t="s">
        <v>53</v>
      </c>
      <c r="H91" s="6"/>
      <c r="I91" s="9" t="str">
        <f aca="false">IF(H91="","",IF(H91&lt;=Preço!$C$7,Preço!$B$7,IF(H91&lt;=Preço!$C$8,Preço!$B$8,IF(H91&lt;=Preço!$C$9,Preço!$B$9,Preço!$B$10))))</f>
        <v/>
      </c>
      <c r="J91" s="12" t="str">
        <f aca="false">IF(H91="","",Preço!$D$7+MAX(0,MIN(H91,Preço!$C$8)-Preço!$C$7)*Preço!$D$8+MAX(0,MIN(H91,Preço!$C$9)-Preço!$C$8)*Preço!$D$9+MAX(0,H91-Preço!$C$9)*Preço!$D$10)</f>
        <v/>
      </c>
      <c r="K91" s="12" t="str">
        <f aca="false">IF(H91="","",J91*12)</f>
        <v/>
      </c>
      <c r="L91" s="8"/>
      <c r="M91" s="8"/>
      <c r="N91" s="8"/>
      <c r="O91" s="8"/>
    </row>
    <row r="92" customFormat="false" ht="15" hidden="false" customHeight="false" outlineLevel="0" collapsed="false">
      <c r="B92" s="4" t="n">
        <v>86</v>
      </c>
      <c r="C92" s="5" t="s">
        <v>209</v>
      </c>
      <c r="D92" s="5" t="s">
        <v>210</v>
      </c>
      <c r="E92" s="5" t="s">
        <v>211</v>
      </c>
      <c r="F92" s="5" t="s">
        <v>19</v>
      </c>
      <c r="G92" s="4"/>
      <c r="H92" s="6"/>
      <c r="I92" s="4" t="str">
        <f aca="false">IF(H92="","",IF(H92&lt;=Preço!$C$7,Preço!$B$7,IF(H92&lt;=Preço!$C$8,Preço!$B$8,IF(H92&lt;=Preço!$C$9,Preço!$B$9,Preço!$B$10))))</f>
        <v/>
      </c>
      <c r="J92" s="7" t="str">
        <f aca="false">IF(H92="","",Preço!$D$7+MAX(0,MIN(H92,Preço!$C$8)-Preço!$C$7)*Preço!$D$8+MAX(0,MIN(H92,Preço!$C$9)-Preço!$C$8)*Preço!$D$9+MAX(0,H92-Preço!$C$9)*Preço!$D$10)</f>
        <v/>
      </c>
      <c r="K92" s="7" t="str">
        <f aca="false">IF(H92="","",J92*12)</f>
        <v/>
      </c>
      <c r="L92" s="8"/>
      <c r="M92" s="8"/>
      <c r="N92" s="8"/>
      <c r="O92" s="8"/>
    </row>
    <row r="93" customFormat="false" ht="15" hidden="false" customHeight="false" outlineLevel="0" collapsed="false">
      <c r="B93" s="9" t="n">
        <v>87</v>
      </c>
      <c r="C93" s="10" t="s">
        <v>212</v>
      </c>
      <c r="D93" s="10" t="s">
        <v>213</v>
      </c>
      <c r="E93" s="10" t="s">
        <v>211</v>
      </c>
      <c r="F93" s="10" t="s">
        <v>19</v>
      </c>
      <c r="G93" s="11" t="s">
        <v>53</v>
      </c>
      <c r="H93" s="6"/>
      <c r="I93" s="9" t="str">
        <f aca="false">IF(H93="","",IF(H93&lt;=Preço!$C$7,Preço!$B$7,IF(H93&lt;=Preço!$C$8,Preço!$B$8,IF(H93&lt;=Preço!$C$9,Preço!$B$9,Preço!$B$10))))</f>
        <v/>
      </c>
      <c r="J93" s="12" t="str">
        <f aca="false">IF(H93="","",Preço!$D$7+MAX(0,MIN(H93,Preço!$C$8)-Preço!$C$7)*Preço!$D$8+MAX(0,MIN(H93,Preço!$C$9)-Preço!$C$8)*Preço!$D$9+MAX(0,H93-Preço!$C$9)*Preço!$D$10)</f>
        <v/>
      </c>
      <c r="K93" s="12" t="str">
        <f aca="false">IF(H93="","",J93*12)</f>
        <v/>
      </c>
      <c r="L93" s="8"/>
      <c r="M93" s="8"/>
      <c r="N93" s="8"/>
      <c r="O93" s="8"/>
    </row>
    <row r="94" customFormat="false" ht="15" hidden="false" customHeight="false" outlineLevel="0" collapsed="false">
      <c r="B94" s="9" t="n">
        <v>88</v>
      </c>
      <c r="C94" s="10" t="s">
        <v>214</v>
      </c>
      <c r="D94" s="10" t="s">
        <v>215</v>
      </c>
      <c r="E94" s="10" t="s">
        <v>216</v>
      </c>
      <c r="F94" s="10" t="s">
        <v>19</v>
      </c>
      <c r="G94" s="11" t="s">
        <v>53</v>
      </c>
      <c r="H94" s="6"/>
      <c r="I94" s="9" t="str">
        <f aca="false">IF(H94="","",IF(H94&lt;=Preço!$C$7,Preço!$B$7,IF(H94&lt;=Preço!$C$8,Preço!$B$8,IF(H94&lt;=Preço!$C$9,Preço!$B$9,Preço!$B$10))))</f>
        <v/>
      </c>
      <c r="J94" s="12" t="str">
        <f aca="false">IF(H94="","",Preço!$D$7+MAX(0,MIN(H94,Preço!$C$8)-Preço!$C$7)*Preço!$D$8+MAX(0,MIN(H94,Preço!$C$9)-Preço!$C$8)*Preço!$D$9+MAX(0,H94-Preço!$C$9)*Preço!$D$10)</f>
        <v/>
      </c>
      <c r="K94" s="12" t="str">
        <f aca="false">IF(H94="","",J94*12)</f>
        <v/>
      </c>
      <c r="L94" s="8"/>
      <c r="M94" s="8"/>
      <c r="N94" s="8"/>
      <c r="O94" s="8"/>
    </row>
    <row r="95" customFormat="false" ht="15" hidden="false" customHeight="false" outlineLevel="0" collapsed="false">
      <c r="B95" s="4" t="n">
        <v>89</v>
      </c>
      <c r="C95" s="5" t="s">
        <v>217</v>
      </c>
      <c r="D95" s="5" t="s">
        <v>218</v>
      </c>
      <c r="E95" s="5" t="s">
        <v>216</v>
      </c>
      <c r="F95" s="5" t="s">
        <v>19</v>
      </c>
      <c r="G95" s="4"/>
      <c r="H95" s="6"/>
      <c r="I95" s="4" t="str">
        <f aca="false">IF(H95="","",IF(H95&lt;=Preço!$C$7,Preço!$B$7,IF(H95&lt;=Preço!$C$8,Preço!$B$8,IF(H95&lt;=Preço!$C$9,Preço!$B$9,Preço!$B$10))))</f>
        <v/>
      </c>
      <c r="J95" s="7" t="str">
        <f aca="false">IF(H95="","",Preço!$D$7+MAX(0,MIN(H95,Preço!$C$8)-Preço!$C$7)*Preço!$D$8+MAX(0,MIN(H95,Preço!$C$9)-Preço!$C$8)*Preço!$D$9+MAX(0,H95-Preço!$C$9)*Preço!$D$10)</f>
        <v/>
      </c>
      <c r="K95" s="7" t="str">
        <f aca="false">IF(H95="","",J95*12)</f>
        <v/>
      </c>
      <c r="L95" s="8"/>
      <c r="M95" s="8"/>
      <c r="N95" s="8"/>
      <c r="O95" s="8"/>
    </row>
    <row r="96" customFormat="false" ht="15" hidden="false" customHeight="false" outlineLevel="0" collapsed="false">
      <c r="B96" s="4" t="n">
        <v>90</v>
      </c>
      <c r="C96" s="5" t="s">
        <v>219</v>
      </c>
      <c r="D96" s="5" t="s">
        <v>220</v>
      </c>
      <c r="E96" s="5" t="s">
        <v>221</v>
      </c>
      <c r="F96" s="5" t="s">
        <v>19</v>
      </c>
      <c r="G96" s="4"/>
      <c r="H96" s="6"/>
      <c r="I96" s="4" t="str">
        <f aca="false">IF(H96="","",IF(H96&lt;=Preço!$C$7,Preço!$B$7,IF(H96&lt;=Preço!$C$8,Preço!$B$8,IF(H96&lt;=Preço!$C$9,Preço!$B$9,Preço!$B$10))))</f>
        <v/>
      </c>
      <c r="J96" s="7" t="str">
        <f aca="false">IF(H96="","",Preço!$D$7+MAX(0,MIN(H96,Preço!$C$8)-Preço!$C$7)*Preço!$D$8+MAX(0,MIN(H96,Preço!$C$9)-Preço!$C$8)*Preço!$D$9+MAX(0,H96-Preço!$C$9)*Preço!$D$10)</f>
        <v/>
      </c>
      <c r="K96" s="7" t="str">
        <f aca="false">IF(H96="","",J96*12)</f>
        <v/>
      </c>
      <c r="L96" s="8"/>
      <c r="M96" s="8"/>
      <c r="N96" s="8"/>
      <c r="O96" s="8"/>
    </row>
    <row r="97" customFormat="false" ht="15" hidden="false" customHeight="false" outlineLevel="0" collapsed="false">
      <c r="B97" s="4" t="n">
        <v>91</v>
      </c>
      <c r="C97" s="5" t="s">
        <v>222</v>
      </c>
      <c r="D97" s="5" t="s">
        <v>223</v>
      </c>
      <c r="E97" s="5" t="s">
        <v>221</v>
      </c>
      <c r="F97" s="5" t="s">
        <v>19</v>
      </c>
      <c r="G97" s="4"/>
      <c r="H97" s="6"/>
      <c r="I97" s="4" t="str">
        <f aca="false">IF(H97="","",IF(H97&lt;=Preço!$C$7,Preço!$B$7,IF(H97&lt;=Preço!$C$8,Preço!$B$8,IF(H97&lt;=Preço!$C$9,Preço!$B$9,Preço!$B$10))))</f>
        <v/>
      </c>
      <c r="J97" s="7" t="str">
        <f aca="false">IF(H97="","",Preço!$D$7+MAX(0,MIN(H97,Preço!$C$8)-Preço!$C$7)*Preço!$D$8+MAX(0,MIN(H97,Preço!$C$9)-Preço!$C$8)*Preço!$D$9+MAX(0,H97-Preço!$C$9)*Preço!$D$10)</f>
        <v/>
      </c>
      <c r="K97" s="7" t="str">
        <f aca="false">IF(H97="","",J97*12)</f>
        <v/>
      </c>
      <c r="L97" s="8"/>
      <c r="M97" s="8"/>
      <c r="N97" s="8"/>
      <c r="O97" s="8"/>
    </row>
    <row r="98" customFormat="false" ht="15" hidden="false" customHeight="false" outlineLevel="0" collapsed="false">
      <c r="B98" s="9" t="n">
        <v>92</v>
      </c>
      <c r="C98" s="10" t="s">
        <v>224</v>
      </c>
      <c r="D98" s="10" t="s">
        <v>225</v>
      </c>
      <c r="E98" s="10" t="s">
        <v>226</v>
      </c>
      <c r="F98" s="10" t="s">
        <v>19</v>
      </c>
      <c r="G98" s="11" t="s">
        <v>53</v>
      </c>
      <c r="H98" s="6"/>
      <c r="I98" s="9" t="str">
        <f aca="false">IF(H98="","",IF(H98&lt;=Preço!$C$7,Preço!$B$7,IF(H98&lt;=Preço!$C$8,Preço!$B$8,IF(H98&lt;=Preço!$C$9,Preço!$B$9,Preço!$B$10))))</f>
        <v/>
      </c>
      <c r="J98" s="12" t="str">
        <f aca="false">IF(H98="","",Preço!$D$7+MAX(0,MIN(H98,Preço!$C$8)-Preço!$C$7)*Preço!$D$8+MAX(0,MIN(H98,Preço!$C$9)-Preço!$C$8)*Preço!$D$9+MAX(0,H98-Preço!$C$9)*Preço!$D$10)</f>
        <v/>
      </c>
      <c r="K98" s="12" t="str">
        <f aca="false">IF(H98="","",J98*12)</f>
        <v/>
      </c>
      <c r="L98" s="8"/>
      <c r="M98" s="8"/>
      <c r="N98" s="8"/>
      <c r="O98" s="8"/>
    </row>
    <row r="99" customFormat="false" ht="15" hidden="false" customHeight="false" outlineLevel="0" collapsed="false">
      <c r="B99" s="4" t="n">
        <v>93</v>
      </c>
      <c r="C99" s="5" t="s">
        <v>227</v>
      </c>
      <c r="D99" s="5" t="s">
        <v>228</v>
      </c>
      <c r="E99" s="5" t="s">
        <v>229</v>
      </c>
      <c r="F99" s="5" t="s">
        <v>19</v>
      </c>
      <c r="G99" s="4"/>
      <c r="H99" s="6"/>
      <c r="I99" s="4" t="str">
        <f aca="false">IF(H99="","",IF(H99&lt;=Preço!$C$7,Preço!$B$7,IF(H99&lt;=Preço!$C$8,Preço!$B$8,IF(H99&lt;=Preço!$C$9,Preço!$B$9,Preço!$B$10))))</f>
        <v/>
      </c>
      <c r="J99" s="7" t="str">
        <f aca="false">IF(H99="","",Preço!$D$7+MAX(0,MIN(H99,Preço!$C$8)-Preço!$C$7)*Preço!$D$8+MAX(0,MIN(H99,Preço!$C$9)-Preço!$C$8)*Preço!$D$9+MAX(0,H99-Preço!$C$9)*Preço!$D$10)</f>
        <v/>
      </c>
      <c r="K99" s="7" t="str">
        <f aca="false">IF(H99="","",J99*12)</f>
        <v/>
      </c>
      <c r="L99" s="8"/>
      <c r="M99" s="8"/>
      <c r="N99" s="8"/>
      <c r="O99" s="8"/>
    </row>
    <row r="100" customFormat="false" ht="15" hidden="false" customHeight="false" outlineLevel="0" collapsed="false">
      <c r="B100" s="4" t="n">
        <v>94</v>
      </c>
      <c r="C100" s="5" t="s">
        <v>230</v>
      </c>
      <c r="D100" s="5" t="s">
        <v>231</v>
      </c>
      <c r="E100" s="5" t="s">
        <v>229</v>
      </c>
      <c r="F100" s="5" t="s">
        <v>19</v>
      </c>
      <c r="G100" s="4"/>
      <c r="H100" s="6"/>
      <c r="I100" s="4" t="str">
        <f aca="false">IF(H100="","",IF(H100&lt;=Preço!$C$7,Preço!$B$7,IF(H100&lt;=Preço!$C$8,Preço!$B$8,IF(H100&lt;=Preço!$C$9,Preço!$B$9,Preço!$B$10))))</f>
        <v/>
      </c>
      <c r="J100" s="7" t="str">
        <f aca="false">IF(H100="","",Preço!$D$7+MAX(0,MIN(H100,Preço!$C$8)-Preço!$C$7)*Preço!$D$8+MAX(0,MIN(H100,Preço!$C$9)-Preço!$C$8)*Preço!$D$9+MAX(0,H100-Preço!$C$9)*Preço!$D$10)</f>
        <v/>
      </c>
      <c r="K100" s="7" t="str">
        <f aca="false">IF(H100="","",J100*12)</f>
        <v/>
      </c>
      <c r="L100" s="8"/>
      <c r="M100" s="8"/>
      <c r="N100" s="8"/>
      <c r="O100" s="8"/>
    </row>
    <row r="101" customFormat="false" ht="15" hidden="false" customHeight="false" outlineLevel="0" collapsed="false">
      <c r="B101" s="4" t="n">
        <v>95</v>
      </c>
      <c r="C101" s="5" t="s">
        <v>232</v>
      </c>
      <c r="D101" s="5" t="s">
        <v>233</v>
      </c>
      <c r="E101" s="5" t="s">
        <v>229</v>
      </c>
      <c r="F101" s="5" t="s">
        <v>19</v>
      </c>
      <c r="G101" s="4"/>
      <c r="H101" s="6"/>
      <c r="I101" s="4" t="str">
        <f aca="false">IF(H101="","",IF(H101&lt;=Preço!$C$7,Preço!$B$7,IF(H101&lt;=Preço!$C$8,Preço!$B$8,IF(H101&lt;=Preço!$C$9,Preço!$B$9,Preço!$B$10))))</f>
        <v/>
      </c>
      <c r="J101" s="7" t="str">
        <f aca="false">IF(H101="","",Preço!$D$7+MAX(0,MIN(H101,Preço!$C$8)-Preço!$C$7)*Preço!$D$8+MAX(0,MIN(H101,Preço!$C$9)-Preço!$C$8)*Preço!$D$9+MAX(0,H101-Preço!$C$9)*Preço!$D$10)</f>
        <v/>
      </c>
      <c r="K101" s="7" t="str">
        <f aca="false">IF(H101="","",J101*12)</f>
        <v/>
      </c>
      <c r="L101" s="8"/>
      <c r="M101" s="8"/>
      <c r="N101" s="8"/>
      <c r="O101" s="8"/>
    </row>
    <row r="102" customFormat="false" ht="15" hidden="false" customHeight="false" outlineLevel="0" collapsed="false">
      <c r="B102" s="4" t="n">
        <v>96</v>
      </c>
      <c r="C102" s="5" t="s">
        <v>234</v>
      </c>
      <c r="D102" s="5" t="s">
        <v>235</v>
      </c>
      <c r="E102" s="5" t="s">
        <v>236</v>
      </c>
      <c r="F102" s="5" t="s">
        <v>19</v>
      </c>
      <c r="G102" s="4"/>
      <c r="H102" s="6"/>
      <c r="I102" s="4" t="str">
        <f aca="false">IF(H102="","",IF(H102&lt;=Preço!$C$7,Preço!$B$7,IF(H102&lt;=Preço!$C$8,Preço!$B$8,IF(H102&lt;=Preço!$C$9,Preço!$B$9,Preço!$B$10))))</f>
        <v/>
      </c>
      <c r="J102" s="7" t="str">
        <f aca="false">IF(H102="","",Preço!$D$7+MAX(0,MIN(H102,Preço!$C$8)-Preço!$C$7)*Preço!$D$8+MAX(0,MIN(H102,Preço!$C$9)-Preço!$C$8)*Preço!$D$9+MAX(0,H102-Preço!$C$9)*Preço!$D$10)</f>
        <v/>
      </c>
      <c r="K102" s="7" t="str">
        <f aca="false">IF(H102="","",J102*12)</f>
        <v/>
      </c>
      <c r="L102" s="8"/>
      <c r="M102" s="8"/>
      <c r="N102" s="8"/>
      <c r="O102" s="8"/>
    </row>
    <row r="103" customFormat="false" ht="15" hidden="false" customHeight="false" outlineLevel="0" collapsed="false">
      <c r="B103" s="4" t="n">
        <v>97</v>
      </c>
      <c r="C103" s="5" t="s">
        <v>237</v>
      </c>
      <c r="D103" s="5" t="s">
        <v>238</v>
      </c>
      <c r="E103" s="5" t="s">
        <v>239</v>
      </c>
      <c r="F103" s="5" t="s">
        <v>19</v>
      </c>
      <c r="G103" s="4"/>
      <c r="H103" s="6"/>
      <c r="I103" s="4" t="str">
        <f aca="false">IF(H103="","",IF(H103&lt;=Preço!$C$7,Preço!$B$7,IF(H103&lt;=Preço!$C$8,Preço!$B$8,IF(H103&lt;=Preço!$C$9,Preço!$B$9,Preço!$B$10))))</f>
        <v/>
      </c>
      <c r="J103" s="7" t="str">
        <f aca="false">IF(H103="","",Preço!$D$7+MAX(0,MIN(H103,Preço!$C$8)-Preço!$C$7)*Preço!$D$8+MAX(0,MIN(H103,Preço!$C$9)-Preço!$C$8)*Preço!$D$9+MAX(0,H103-Preço!$C$9)*Preço!$D$10)</f>
        <v/>
      </c>
      <c r="K103" s="7" t="str">
        <f aca="false">IF(H103="","",J103*12)</f>
        <v/>
      </c>
      <c r="L103" s="8"/>
      <c r="M103" s="8"/>
      <c r="N103" s="8"/>
      <c r="O103" s="8"/>
    </row>
    <row r="104" customFormat="false" ht="15" hidden="false" customHeight="false" outlineLevel="0" collapsed="false">
      <c r="B104" s="9" t="n">
        <v>98</v>
      </c>
      <c r="C104" s="10" t="s">
        <v>240</v>
      </c>
      <c r="D104" s="10" t="s">
        <v>241</v>
      </c>
      <c r="E104" s="10" t="s">
        <v>242</v>
      </c>
      <c r="F104" s="10" t="s">
        <v>19</v>
      </c>
      <c r="G104" s="11" t="s">
        <v>53</v>
      </c>
      <c r="H104" s="6"/>
      <c r="I104" s="9" t="str">
        <f aca="false">IF(H104="","",IF(H104&lt;=Preço!$C$7,Preço!$B$7,IF(H104&lt;=Preço!$C$8,Preço!$B$8,IF(H104&lt;=Preço!$C$9,Preço!$B$9,Preço!$B$10))))</f>
        <v/>
      </c>
      <c r="J104" s="12" t="str">
        <f aca="false">IF(H104="","",Preço!$D$7+MAX(0,MIN(H104,Preço!$C$8)-Preço!$C$7)*Preço!$D$8+MAX(0,MIN(H104,Preço!$C$9)-Preço!$C$8)*Preço!$D$9+MAX(0,H104-Preço!$C$9)*Preço!$D$10)</f>
        <v/>
      </c>
      <c r="K104" s="12" t="str">
        <f aca="false">IF(H104="","",J104*12)</f>
        <v/>
      </c>
      <c r="L104" s="8"/>
      <c r="M104" s="8"/>
      <c r="N104" s="8"/>
      <c r="O104" s="8"/>
    </row>
    <row r="105" customFormat="false" ht="15" hidden="false" customHeight="false" outlineLevel="0" collapsed="false">
      <c r="B105" s="4" t="n">
        <v>99</v>
      </c>
      <c r="C105" s="5" t="s">
        <v>243</v>
      </c>
      <c r="D105" s="5" t="s">
        <v>244</v>
      </c>
      <c r="E105" s="5" t="s">
        <v>242</v>
      </c>
      <c r="F105" s="5" t="s">
        <v>19</v>
      </c>
      <c r="G105" s="4"/>
      <c r="H105" s="6"/>
      <c r="I105" s="4" t="str">
        <f aca="false">IF(H105="","",IF(H105&lt;=Preço!$C$7,Preço!$B$7,IF(H105&lt;=Preço!$C$8,Preço!$B$8,IF(H105&lt;=Preço!$C$9,Preço!$B$9,Preço!$B$10))))</f>
        <v/>
      </c>
      <c r="J105" s="7" t="str">
        <f aca="false">IF(H105="","",Preço!$D$7+MAX(0,MIN(H105,Preço!$C$8)-Preço!$C$7)*Preço!$D$8+MAX(0,MIN(H105,Preço!$C$9)-Preço!$C$8)*Preço!$D$9+MAX(0,H105-Preço!$C$9)*Preço!$D$10)</f>
        <v/>
      </c>
      <c r="K105" s="7" t="str">
        <f aca="false">IF(H105="","",J105*12)</f>
        <v/>
      </c>
      <c r="L105" s="8"/>
      <c r="M105" s="8"/>
      <c r="N105" s="8"/>
      <c r="O105" s="8"/>
    </row>
    <row r="106" customFormat="false" ht="15" hidden="false" customHeight="false" outlineLevel="0" collapsed="false">
      <c r="B106" s="9" t="n">
        <v>100</v>
      </c>
      <c r="C106" s="10" t="s">
        <v>245</v>
      </c>
      <c r="D106" s="10" t="s">
        <v>246</v>
      </c>
      <c r="E106" s="10" t="s">
        <v>247</v>
      </c>
      <c r="F106" s="10" t="s">
        <v>19</v>
      </c>
      <c r="G106" s="11" t="s">
        <v>53</v>
      </c>
      <c r="H106" s="6"/>
      <c r="I106" s="9" t="str">
        <f aca="false">IF(H106="","",IF(H106&lt;=Preço!$C$7,Preço!$B$7,IF(H106&lt;=Preço!$C$8,Preço!$B$8,IF(H106&lt;=Preço!$C$9,Preço!$B$9,Preço!$B$10))))</f>
        <v/>
      </c>
      <c r="J106" s="12" t="str">
        <f aca="false">IF(H106="","",Preço!$D$7+MAX(0,MIN(H106,Preço!$C$8)-Preço!$C$7)*Preço!$D$8+MAX(0,MIN(H106,Preço!$C$9)-Preço!$C$8)*Preço!$D$9+MAX(0,H106-Preço!$C$9)*Preço!$D$10)</f>
        <v/>
      </c>
      <c r="K106" s="12" t="str">
        <f aca="false">IF(H106="","",J106*12)</f>
        <v/>
      </c>
      <c r="L106" s="8"/>
      <c r="M106" s="8"/>
      <c r="N106" s="8"/>
      <c r="O106" s="8"/>
    </row>
    <row r="107" customFormat="false" ht="15" hidden="false" customHeight="false" outlineLevel="0" collapsed="false">
      <c r="B107" s="4" t="n">
        <v>101</v>
      </c>
      <c r="C107" s="5" t="s">
        <v>248</v>
      </c>
      <c r="D107" s="5" t="s">
        <v>249</v>
      </c>
      <c r="E107" s="5" t="s">
        <v>250</v>
      </c>
      <c r="F107" s="5" t="s">
        <v>19</v>
      </c>
      <c r="G107" s="4"/>
      <c r="H107" s="6"/>
      <c r="I107" s="4" t="str">
        <f aca="false">IF(H107="","",IF(H107&lt;=Preço!$C$7,Preço!$B$7,IF(H107&lt;=Preço!$C$8,Preço!$B$8,IF(H107&lt;=Preço!$C$9,Preço!$B$9,Preço!$B$10))))</f>
        <v/>
      </c>
      <c r="J107" s="7" t="str">
        <f aca="false">IF(H107="","",Preço!$D$7+MAX(0,MIN(H107,Preço!$C$8)-Preço!$C$7)*Preço!$D$8+MAX(0,MIN(H107,Preço!$C$9)-Preço!$C$8)*Preço!$D$9+MAX(0,H107-Preço!$C$9)*Preço!$D$10)</f>
        <v/>
      </c>
      <c r="K107" s="7" t="str">
        <f aca="false">IF(H107="","",J107*12)</f>
        <v/>
      </c>
      <c r="L107" s="8"/>
      <c r="M107" s="8"/>
      <c r="N107" s="8"/>
      <c r="O107" s="8"/>
    </row>
    <row r="108" customFormat="false" ht="15" hidden="false" customHeight="false" outlineLevel="0" collapsed="false">
      <c r="B108" s="4" t="n">
        <v>102</v>
      </c>
      <c r="C108" s="5" t="s">
        <v>251</v>
      </c>
      <c r="D108" s="5" t="s">
        <v>252</v>
      </c>
      <c r="E108" s="5" t="s">
        <v>250</v>
      </c>
      <c r="F108" s="5" t="s">
        <v>19</v>
      </c>
      <c r="G108" s="4"/>
      <c r="H108" s="6"/>
      <c r="I108" s="4" t="str">
        <f aca="false">IF(H108="","",IF(H108&lt;=Preço!$C$7,Preço!$B$7,IF(H108&lt;=Preço!$C$8,Preço!$B$8,IF(H108&lt;=Preço!$C$9,Preço!$B$9,Preço!$B$10))))</f>
        <v/>
      </c>
      <c r="J108" s="7" t="str">
        <f aca="false">IF(H108="","",Preço!$D$7+MAX(0,MIN(H108,Preço!$C$8)-Preço!$C$7)*Preço!$D$8+MAX(0,MIN(H108,Preço!$C$9)-Preço!$C$8)*Preço!$D$9+MAX(0,H108-Preço!$C$9)*Preço!$D$10)</f>
        <v/>
      </c>
      <c r="K108" s="7" t="str">
        <f aca="false">IF(H108="","",J108*12)</f>
        <v/>
      </c>
      <c r="L108" s="8"/>
      <c r="M108" s="8"/>
      <c r="N108" s="8"/>
      <c r="O108" s="8"/>
    </row>
    <row r="109" customFormat="false" ht="15" hidden="false" customHeight="false" outlineLevel="0" collapsed="false">
      <c r="B109" s="4" t="n">
        <v>103</v>
      </c>
      <c r="C109" s="5" t="s">
        <v>253</v>
      </c>
      <c r="D109" s="5" t="s">
        <v>254</v>
      </c>
      <c r="E109" s="5" t="s">
        <v>255</v>
      </c>
      <c r="F109" s="5" t="s">
        <v>19</v>
      </c>
      <c r="G109" s="4"/>
      <c r="H109" s="6"/>
      <c r="I109" s="4" t="str">
        <f aca="false">IF(H109="","",IF(H109&lt;=Preço!$C$7,Preço!$B$7,IF(H109&lt;=Preço!$C$8,Preço!$B$8,IF(H109&lt;=Preço!$C$9,Preço!$B$9,Preço!$B$10))))</f>
        <v/>
      </c>
      <c r="J109" s="7" t="str">
        <f aca="false">IF(H109="","",Preço!$D$7+MAX(0,MIN(H109,Preço!$C$8)-Preço!$C$7)*Preço!$D$8+MAX(0,MIN(H109,Preço!$C$9)-Preço!$C$8)*Preço!$D$9+MAX(0,H109-Preço!$C$9)*Preço!$D$10)</f>
        <v/>
      </c>
      <c r="K109" s="7" t="str">
        <f aca="false">IF(H109="","",J109*12)</f>
        <v/>
      </c>
      <c r="L109" s="8"/>
      <c r="M109" s="8"/>
      <c r="N109" s="8"/>
      <c r="O109" s="8"/>
    </row>
    <row r="110" customFormat="false" ht="15" hidden="false" customHeight="false" outlineLevel="0" collapsed="false">
      <c r="B110" s="9" t="n">
        <v>104</v>
      </c>
      <c r="C110" s="10" t="s">
        <v>256</v>
      </c>
      <c r="D110" s="10" t="s">
        <v>257</v>
      </c>
      <c r="E110" s="10" t="s">
        <v>255</v>
      </c>
      <c r="F110" s="10" t="s">
        <v>19</v>
      </c>
      <c r="G110" s="11" t="s">
        <v>53</v>
      </c>
      <c r="H110" s="6"/>
      <c r="I110" s="9" t="str">
        <f aca="false">IF(H110="","",IF(H110&lt;=Preço!$C$7,Preço!$B$7,IF(H110&lt;=Preço!$C$8,Preço!$B$8,IF(H110&lt;=Preço!$C$9,Preço!$B$9,Preço!$B$10))))</f>
        <v/>
      </c>
      <c r="J110" s="12" t="str">
        <f aca="false">IF(H110="","",Preço!$D$7+MAX(0,MIN(H110,Preço!$C$8)-Preço!$C$7)*Preço!$D$8+MAX(0,MIN(H110,Preço!$C$9)-Preço!$C$8)*Preço!$D$9+MAX(0,H110-Preço!$C$9)*Preço!$D$10)</f>
        <v/>
      </c>
      <c r="K110" s="12" t="str">
        <f aca="false">IF(H110="","",J110*12)</f>
        <v/>
      </c>
      <c r="L110" s="8"/>
      <c r="M110" s="8"/>
      <c r="N110" s="8"/>
      <c r="O110" s="8"/>
    </row>
    <row r="111" customFormat="false" ht="15" hidden="false" customHeight="false" outlineLevel="0" collapsed="false">
      <c r="B111" s="4" t="n">
        <v>105</v>
      </c>
      <c r="C111" s="5" t="s">
        <v>258</v>
      </c>
      <c r="D111" s="5" t="s">
        <v>259</v>
      </c>
      <c r="E111" s="5" t="s">
        <v>259</v>
      </c>
      <c r="F111" s="5" t="s">
        <v>19</v>
      </c>
      <c r="G111" s="4"/>
      <c r="H111" s="6"/>
      <c r="I111" s="4" t="str">
        <f aca="false">IF(H111="","",IF(H111&lt;=Preço!$C$7,Preço!$B$7,IF(H111&lt;=Preço!$C$8,Preço!$B$8,IF(H111&lt;=Preço!$C$9,Preço!$B$9,Preço!$B$10))))</f>
        <v/>
      </c>
      <c r="J111" s="7" t="str">
        <f aca="false">IF(H111="","",Preço!$D$7+MAX(0,MIN(H111,Preço!$C$8)-Preço!$C$7)*Preço!$D$8+MAX(0,MIN(H111,Preço!$C$9)-Preço!$C$8)*Preço!$D$9+MAX(0,H111-Preço!$C$9)*Preço!$D$10)</f>
        <v/>
      </c>
      <c r="K111" s="7" t="str">
        <f aca="false">IF(H111="","",J111*12)</f>
        <v/>
      </c>
      <c r="L111" s="8"/>
      <c r="M111" s="8"/>
      <c r="N111" s="8"/>
      <c r="O111" s="8"/>
    </row>
    <row r="112" customFormat="false" ht="15" hidden="false" customHeight="false" outlineLevel="0" collapsed="false">
      <c r="B112" s="4" t="n">
        <v>106</v>
      </c>
      <c r="C112" s="5" t="s">
        <v>260</v>
      </c>
      <c r="D112" s="5" t="s">
        <v>259</v>
      </c>
      <c r="E112" s="5" t="s">
        <v>259</v>
      </c>
      <c r="F112" s="5" t="s">
        <v>19</v>
      </c>
      <c r="G112" s="4"/>
      <c r="H112" s="6"/>
      <c r="I112" s="4" t="str">
        <f aca="false">IF(H112="","",IF(H112&lt;=Preço!$C$7,Preço!$B$7,IF(H112&lt;=Preço!$C$8,Preço!$B$8,IF(H112&lt;=Preço!$C$9,Preço!$B$9,Preço!$B$10))))</f>
        <v/>
      </c>
      <c r="J112" s="7" t="str">
        <f aca="false">IF(H112="","",Preço!$D$7+MAX(0,MIN(H112,Preço!$C$8)-Preço!$C$7)*Preço!$D$8+MAX(0,MIN(H112,Preço!$C$9)-Preço!$C$8)*Preço!$D$9+MAX(0,H112-Preço!$C$9)*Preço!$D$10)</f>
        <v/>
      </c>
      <c r="K112" s="7" t="str">
        <f aca="false">IF(H112="","",J112*12)</f>
        <v/>
      </c>
      <c r="L112" s="8"/>
      <c r="M112" s="8"/>
      <c r="N112" s="8"/>
      <c r="O112" s="8"/>
    </row>
    <row r="113" customFormat="false" ht="15" hidden="false" customHeight="false" outlineLevel="0" collapsed="false">
      <c r="B113" s="13"/>
      <c r="C113" s="13" t="s">
        <v>261</v>
      </c>
      <c r="D113" s="13"/>
      <c r="E113" s="13"/>
      <c r="F113" s="13"/>
      <c r="G113" s="13"/>
      <c r="H113" s="14" t="n">
        <f aca="false">SUM(H7:H112)</f>
        <v>160</v>
      </c>
      <c r="I113" s="13"/>
      <c r="J113" s="15" t="n">
        <f aca="false">SUM(J7:J112)</f>
        <v>1605</v>
      </c>
      <c r="K113" s="15" t="n">
        <f aca="false">SUM(K7:K112)</f>
        <v>19260</v>
      </c>
      <c r="L113" s="13"/>
      <c r="M113" s="13"/>
      <c r="N113" s="13"/>
      <c r="O113" s="13"/>
    </row>
    <row r="115" customFormat="false" ht="15" hidden="false" customHeight="false" outlineLevel="0" collapsed="false">
      <c r="C115" s="16" t="s">
        <v>262</v>
      </c>
      <c r="E115" s="17" t="n">
        <f aca="false">COUNTA(C7:C112)</f>
        <v>106</v>
      </c>
    </row>
    <row r="116" customFormat="false" ht="15" hidden="false" customHeight="false" outlineLevel="0" collapsed="false">
      <c r="C116" s="16" t="s">
        <v>263</v>
      </c>
      <c r="E116" s="17" t="n">
        <f aca="false">COUNTIF(G7:G112,"SIM")</f>
        <v>13</v>
      </c>
    </row>
    <row r="117" customFormat="false" ht="15" hidden="false" customHeight="false" outlineLevel="0" collapsed="false">
      <c r="C117" s="16" t="s">
        <v>264</v>
      </c>
      <c r="E117" s="17" t="n">
        <f aca="false">COUNTA(C7:C112)-COUNTIF(G7:G112,"SIM")</f>
        <v>93</v>
      </c>
    </row>
    <row r="118" customFormat="false" ht="15" hidden="false" customHeight="false" outlineLevel="0" collapsed="false">
      <c r="C118" s="16" t="s">
        <v>265</v>
      </c>
      <c r="E118" s="17" t="n">
        <f aca="false">COUNT(H7:H112)</f>
        <v>1</v>
      </c>
    </row>
    <row r="119" customFormat="false" ht="15" hidden="false" customHeight="false" outlineLevel="0" collapsed="false">
      <c r="C119" s="16" t="s">
        <v>266</v>
      </c>
      <c r="E119" s="17" t="n">
        <f aca="false">COUNTA(C7:C112)-COUNT(H7:H112)</f>
        <v>105</v>
      </c>
    </row>
    <row r="120" customFormat="false" ht="15" hidden="false" customHeight="false" outlineLevel="0" collapsed="false">
      <c r="C120" s="16" t="s">
        <v>267</v>
      </c>
      <c r="E120" s="18" t="n">
        <f aca="false">J113</f>
        <v>1605</v>
      </c>
    </row>
  </sheetData>
  <dataValidations count="1">
    <dataValidation allowBlank="true" errorStyle="stop" operator="between" showDropDown="false" showErrorMessage="false" showInputMessage="false" sqref="N7:N112" type="list">
      <formula1>"1 - Mapeado,2 - Contato feito,3 - Diagnóstico,4 - Demo agendada,5 - Proposta enviada,6 - Assembleia marcada,7 - Fechado,X - 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2" customFormat="false" ht="18.55" hidden="false" customHeight="false" outlineLevel="0" collapsed="false">
      <c r="B2" s="1" t="s">
        <v>268</v>
      </c>
    </row>
    <row r="3" customFormat="false" ht="15" hidden="false" customHeight="false" outlineLevel="0" collapsed="false">
      <c r="B3" s="2" t="s">
        <v>269</v>
      </c>
    </row>
    <row r="6" customFormat="false" ht="33.75" hidden="false" customHeight="true" outlineLevel="0" collapsed="false">
      <c r="B6" s="3" t="s">
        <v>9</v>
      </c>
      <c r="C6" s="3" t="s">
        <v>270</v>
      </c>
      <c r="D6" s="3" t="s">
        <v>271</v>
      </c>
      <c r="E6" s="3" t="s">
        <v>8</v>
      </c>
    </row>
    <row r="7" customFormat="false" ht="15" hidden="false" customHeight="false" outlineLevel="0" collapsed="false">
      <c r="B7" s="19" t="s">
        <v>272</v>
      </c>
      <c r="C7" s="6" t="n">
        <v>30</v>
      </c>
      <c r="D7" s="20" t="n">
        <v>298</v>
      </c>
      <c r="E7" s="21" t="s">
        <v>273</v>
      </c>
    </row>
    <row r="8" customFormat="false" ht="15" hidden="false" customHeight="false" outlineLevel="0" collapsed="false">
      <c r="B8" s="19" t="s">
        <v>274</v>
      </c>
      <c r="C8" s="6" t="n">
        <v>60</v>
      </c>
      <c r="D8" s="20" t="n">
        <v>9.9</v>
      </c>
      <c r="E8" s="21" t="s">
        <v>275</v>
      </c>
    </row>
    <row r="9" customFormat="false" ht="15" hidden="false" customHeight="false" outlineLevel="0" collapsed="false">
      <c r="B9" s="19" t="s">
        <v>276</v>
      </c>
      <c r="C9" s="6" t="n">
        <v>120</v>
      </c>
      <c r="D9" s="20" t="n">
        <v>8.9</v>
      </c>
      <c r="E9" s="21" t="s">
        <v>277</v>
      </c>
    </row>
    <row r="10" customFormat="false" ht="15" hidden="false" customHeight="false" outlineLevel="0" collapsed="false">
      <c r="B10" s="19" t="s">
        <v>278</v>
      </c>
      <c r="C10" s="22" t="s">
        <v>259</v>
      </c>
      <c r="D10" s="20" t="n">
        <v>11.9</v>
      </c>
      <c r="E10" s="21" t="s">
        <v>279</v>
      </c>
    </row>
    <row r="12" customFormat="false" ht="15" hidden="false" customHeight="false" outlineLevel="0" collapsed="false">
      <c r="B12" s="23" t="s">
        <v>280</v>
      </c>
      <c r="D12" s="24" t="n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</cols>
  <sheetData>
    <row r="2" customFormat="false" ht="18.55" hidden="false" customHeight="false" outlineLevel="0" collapsed="false">
      <c r="B2" s="1" t="s">
        <v>281</v>
      </c>
    </row>
    <row r="3" customFormat="false" ht="15" hidden="false" customHeight="false" outlineLevel="0" collapsed="false">
      <c r="B3" s="2" t="s">
        <v>282</v>
      </c>
    </row>
    <row r="5" customFormat="false" ht="15" hidden="false" customHeight="false" outlineLevel="0" collapsed="false">
      <c r="B5" s="25" t="s">
        <v>283</v>
      </c>
      <c r="C5" s="25"/>
      <c r="D5" s="25"/>
      <c r="E5" s="25"/>
      <c r="F5" s="25"/>
      <c r="G5" s="25"/>
      <c r="H5" s="25"/>
      <c r="I5" s="25"/>
    </row>
    <row r="6" customFormat="false" ht="15" hidden="false" customHeight="true" outlineLevel="0" collapsed="false">
      <c r="B6" s="26" t="s">
        <v>284</v>
      </c>
      <c r="C6" s="26"/>
      <c r="D6" s="26"/>
      <c r="E6" s="26"/>
      <c r="F6" s="26"/>
      <c r="G6" s="26"/>
      <c r="H6" s="26"/>
      <c r="I6" s="26"/>
    </row>
    <row r="7" customFormat="false" ht="15" hidden="false" customHeight="true" outlineLevel="0" collapsed="false">
      <c r="B7" s="26"/>
      <c r="C7" s="26"/>
      <c r="D7" s="26"/>
      <c r="E7" s="26"/>
      <c r="F7" s="26"/>
      <c r="G7" s="26"/>
      <c r="H7" s="26"/>
      <c r="I7" s="26"/>
    </row>
    <row r="8" customFormat="false" ht="15" hidden="false" customHeight="true" outlineLevel="0" collapsed="false">
      <c r="B8" s="26" t="s">
        <v>285</v>
      </c>
      <c r="C8" s="26"/>
      <c r="D8" s="26"/>
      <c r="E8" s="26"/>
      <c r="F8" s="26"/>
      <c r="G8" s="26"/>
      <c r="H8" s="26"/>
      <c r="I8" s="26"/>
    </row>
    <row r="9" customFormat="false" ht="15" hidden="false" customHeight="true" outlineLevel="0" collapsed="false">
      <c r="B9" s="26"/>
      <c r="C9" s="26"/>
      <c r="D9" s="26"/>
      <c r="E9" s="26"/>
      <c r="F9" s="26"/>
      <c r="G9" s="26"/>
      <c r="H9" s="26"/>
      <c r="I9" s="26"/>
    </row>
    <row r="11" customFormat="false" ht="15" hidden="false" customHeight="false" outlineLevel="0" collapsed="false">
      <c r="B11" s="25" t="s">
        <v>286</v>
      </c>
      <c r="C11" s="25"/>
      <c r="D11" s="25"/>
      <c r="E11" s="25"/>
      <c r="F11" s="25"/>
      <c r="G11" s="25"/>
      <c r="H11" s="25"/>
      <c r="I11" s="25"/>
    </row>
    <row r="12" customFormat="false" ht="15" hidden="false" customHeight="true" outlineLevel="0" collapsed="false">
      <c r="B12" s="26" t="s">
        <v>287</v>
      </c>
      <c r="C12" s="26"/>
      <c r="D12" s="26"/>
      <c r="E12" s="26"/>
      <c r="F12" s="26"/>
      <c r="G12" s="26"/>
      <c r="H12" s="26"/>
      <c r="I12" s="26"/>
    </row>
    <row r="13" customFormat="false" ht="15" hidden="false" customHeight="true" outlineLevel="0" collapsed="false">
      <c r="B13" s="26"/>
      <c r="C13" s="26"/>
      <c r="D13" s="26"/>
      <c r="E13" s="26"/>
      <c r="F13" s="26"/>
      <c r="G13" s="26"/>
      <c r="H13" s="26"/>
      <c r="I13" s="26"/>
    </row>
    <row r="14" customFormat="false" ht="15" hidden="false" customHeight="true" outlineLevel="0" collapsed="false">
      <c r="B14" s="26" t="s">
        <v>288</v>
      </c>
      <c r="C14" s="26"/>
      <c r="D14" s="26"/>
      <c r="E14" s="26"/>
      <c r="F14" s="26"/>
      <c r="G14" s="26"/>
      <c r="H14" s="26"/>
      <c r="I14" s="26"/>
    </row>
    <row r="15" customFormat="false" ht="15" hidden="false" customHeight="true" outlineLevel="0" collapsed="false">
      <c r="B15" s="26"/>
      <c r="C15" s="26"/>
      <c r="D15" s="26"/>
      <c r="E15" s="26"/>
      <c r="F15" s="26"/>
      <c r="G15" s="26"/>
      <c r="H15" s="26"/>
      <c r="I15" s="26"/>
    </row>
    <row r="17" customFormat="false" ht="15" hidden="false" customHeight="false" outlineLevel="0" collapsed="false">
      <c r="B17" s="25" t="s">
        <v>289</v>
      </c>
      <c r="C17" s="25"/>
      <c r="D17" s="25"/>
      <c r="E17" s="25"/>
      <c r="F17" s="25"/>
      <c r="G17" s="25"/>
      <c r="H17" s="25"/>
      <c r="I17" s="25"/>
    </row>
    <row r="18" customFormat="false" ht="15" hidden="false" customHeight="true" outlineLevel="0" collapsed="false">
      <c r="B18" s="26" t="s">
        <v>290</v>
      </c>
      <c r="C18" s="26"/>
      <c r="D18" s="26"/>
      <c r="E18" s="26"/>
      <c r="F18" s="26"/>
      <c r="G18" s="26"/>
      <c r="H18" s="26"/>
      <c r="I18" s="26"/>
    </row>
    <row r="19" customFormat="false" ht="15" hidden="false" customHeight="true" outlineLevel="0" collapsed="false">
      <c r="B19" s="26"/>
      <c r="C19" s="26"/>
      <c r="D19" s="26"/>
      <c r="E19" s="26"/>
      <c r="F19" s="26"/>
      <c r="G19" s="26"/>
      <c r="H19" s="26"/>
      <c r="I19" s="26"/>
    </row>
    <row r="20" customFormat="false" ht="15" hidden="false" customHeight="true" outlineLevel="0" collapsed="false">
      <c r="B20" s="26" t="s">
        <v>291</v>
      </c>
      <c r="C20" s="26"/>
      <c r="D20" s="26"/>
      <c r="E20" s="26"/>
      <c r="F20" s="26"/>
      <c r="G20" s="26"/>
      <c r="H20" s="26"/>
      <c r="I20" s="26"/>
    </row>
    <row r="21" customFormat="false" ht="15" hidden="false" customHeight="true" outlineLevel="0" collapsed="false">
      <c r="B21" s="26"/>
      <c r="C21" s="26"/>
      <c r="D21" s="26"/>
      <c r="E21" s="26"/>
      <c r="F21" s="26"/>
      <c r="G21" s="26"/>
      <c r="H21" s="26"/>
      <c r="I21" s="26"/>
    </row>
    <row r="22" customFormat="false" ht="15" hidden="false" customHeight="true" outlineLevel="0" collapsed="false">
      <c r="B22" s="26" t="s">
        <v>292</v>
      </c>
      <c r="C22" s="26"/>
      <c r="D22" s="26"/>
      <c r="E22" s="26"/>
      <c r="F22" s="26"/>
      <c r="G22" s="26"/>
      <c r="H22" s="26"/>
      <c r="I22" s="26"/>
    </row>
    <row r="23" customFormat="false" ht="15" hidden="false" customHeight="true" outlineLevel="0" collapsed="false">
      <c r="B23" s="26"/>
      <c r="C23" s="26"/>
      <c r="D23" s="26"/>
      <c r="E23" s="26"/>
      <c r="F23" s="26"/>
      <c r="G23" s="26"/>
      <c r="H23" s="26"/>
      <c r="I23" s="26"/>
    </row>
    <row r="25" customFormat="false" ht="15" hidden="false" customHeight="false" outlineLevel="0" collapsed="false">
      <c r="B25" s="25" t="s">
        <v>293</v>
      </c>
      <c r="C25" s="25"/>
      <c r="D25" s="25"/>
      <c r="E25" s="25"/>
      <c r="F25" s="25"/>
      <c r="G25" s="25"/>
      <c r="H25" s="25"/>
      <c r="I25" s="25"/>
    </row>
    <row r="26" customFormat="false" ht="15" hidden="false" customHeight="true" outlineLevel="0" collapsed="false">
      <c r="B26" s="26" t="s">
        <v>294</v>
      </c>
      <c r="C26" s="26"/>
      <c r="D26" s="26"/>
      <c r="E26" s="26"/>
      <c r="F26" s="26"/>
      <c r="G26" s="26"/>
      <c r="H26" s="26"/>
      <c r="I26" s="26"/>
    </row>
    <row r="27" customFormat="false" ht="15" hidden="false" customHeight="true" outlineLevel="0" collapsed="false">
      <c r="B27" s="26"/>
      <c r="C27" s="26"/>
      <c r="D27" s="26"/>
      <c r="E27" s="26"/>
      <c r="F27" s="26"/>
      <c r="G27" s="26"/>
      <c r="H27" s="26"/>
      <c r="I27" s="26"/>
    </row>
    <row r="28" customFormat="false" ht="15" hidden="false" customHeight="true" outlineLevel="0" collapsed="false">
      <c r="B28" s="26" t="s">
        <v>295</v>
      </c>
      <c r="C28" s="26"/>
      <c r="D28" s="26"/>
      <c r="E28" s="26"/>
      <c r="F28" s="26"/>
      <c r="G28" s="26"/>
      <c r="H28" s="26"/>
      <c r="I28" s="26"/>
    </row>
    <row r="29" customFormat="false" ht="15" hidden="false" customHeight="true" outlineLevel="0" collapsed="false">
      <c r="B29" s="26"/>
      <c r="C29" s="26"/>
      <c r="D29" s="26"/>
      <c r="E29" s="26"/>
      <c r="F29" s="26"/>
      <c r="G29" s="26"/>
      <c r="H29" s="26"/>
      <c r="I29" s="26"/>
    </row>
    <row r="30" customFormat="false" ht="15" hidden="false" customHeight="true" outlineLevel="0" collapsed="false">
      <c r="B30" s="26" t="s">
        <v>296</v>
      </c>
      <c r="C30" s="26"/>
      <c r="D30" s="26"/>
      <c r="E30" s="26"/>
      <c r="F30" s="26"/>
      <c r="G30" s="26"/>
      <c r="H30" s="26"/>
      <c r="I30" s="26"/>
    </row>
    <row r="31" customFormat="false" ht="15" hidden="false" customHeight="true" outlineLevel="0" collapsed="false">
      <c r="B31" s="26"/>
      <c r="C31" s="26"/>
      <c r="D31" s="26"/>
      <c r="E31" s="26"/>
      <c r="F31" s="26"/>
      <c r="G31" s="26"/>
      <c r="H31" s="26"/>
      <c r="I31" s="26"/>
    </row>
    <row r="32" customFormat="false" ht="15" hidden="false" customHeight="true" outlineLevel="0" collapsed="false">
      <c r="B32" s="26" t="s">
        <v>297</v>
      </c>
      <c r="C32" s="26"/>
      <c r="D32" s="26"/>
      <c r="E32" s="26"/>
      <c r="F32" s="26"/>
      <c r="G32" s="26"/>
      <c r="H32" s="26"/>
      <c r="I32" s="26"/>
    </row>
    <row r="33" customFormat="false" ht="15" hidden="false" customHeight="true" outlineLevel="0" collapsed="false">
      <c r="B33" s="26"/>
      <c r="C33" s="26"/>
      <c r="D33" s="26"/>
      <c r="E33" s="26"/>
      <c r="F33" s="26"/>
      <c r="G33" s="26"/>
      <c r="H33" s="26"/>
      <c r="I33" s="26"/>
    </row>
  </sheetData>
  <mergeCells count="15">
    <mergeCell ref="B5:I5"/>
    <mergeCell ref="B6:I7"/>
    <mergeCell ref="B8:I9"/>
    <mergeCell ref="B11:I11"/>
    <mergeCell ref="B12:I13"/>
    <mergeCell ref="B14:I15"/>
    <mergeCell ref="B17:I17"/>
    <mergeCell ref="B18:I19"/>
    <mergeCell ref="B20:I21"/>
    <mergeCell ref="B22:I23"/>
    <mergeCell ref="B25:I25"/>
    <mergeCell ref="B26:I27"/>
    <mergeCell ref="B28:I29"/>
    <mergeCell ref="B30:I31"/>
    <mergeCell ref="B32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2026-09-02T00:19:59Z</dcterms:created>
  <dc:creator>openpyxl</dc:creator>
  <dc:description/>
  <dc:language>en-US</dc:language>
  <cp:lastModifiedBy/>
  <dcterms:modified xsi:type="dcterms:W3CDTF">2026-09-02T00:19:59Z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