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ligação" sheetId="1" state="visible" r:id="rId3"/>
    <sheet name="Telefones a conferir" sheetId="2" state="visible" r:id="rId4"/>
    <sheet name="Faltam na sua lista" sheetId="3" state="visible" r:id="rId5"/>
    <sheet name="Já são seus clientes" sheetId="4" state="visible" r:id="rId6"/>
    <sheet name="Script da ligação" sheetId="5" state="visible" r:id="rId7"/>
    <sheet name="Preç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<sst xmlns="http://schemas.openxmlformats.org/spreadsheetml/2006/main" count="536" uniqueCount="383">
  <si>
    <t xml:space="preserve">Lista de ligação — 70 condomínios para contatar</t>
  </si>
  <si>
    <t xml:space="preserve">Ordem sugerida: quem tem telefone confiável primeiro. Preencha as colunas amarelas durante a ligação.</t>
  </si>
  <si>
    <t xml:space="preserve">#</t>
  </si>
  <si>
    <t xml:space="preserve">Condomínio</t>
  </si>
  <si>
    <t xml:space="preserve">Bairro</t>
  </si>
  <si>
    <t xml:space="preserve">Endereço</t>
  </si>
  <si>
    <t xml:space="preserve">Telefone da portaria</t>
  </si>
  <si>
    <t xml:space="preserve">Atenção no telefone</t>
  </si>
  <si>
    <t xml:space="preserve">Data do contato</t>
  </si>
  <si>
    <t xml:space="preserve">Falou com</t>
  </si>
  <si>
    <t xml:space="preserve">Nome do síndico</t>
  </si>
  <si>
    <t xml:space="preserve">Telefone do síndico</t>
  </si>
  <si>
    <t xml:space="preserve">Unidades</t>
  </si>
  <si>
    <t xml:space="preserve">Já tem app de controle de acesso?</t>
  </si>
  <si>
    <t xml:space="preserve">Qual app</t>
  </si>
  <si>
    <t xml:space="preserve">Interesse</t>
  </si>
  <si>
    <t xml:space="preserve">Próximo passo</t>
  </si>
  <si>
    <t xml:space="preserve">Faixa</t>
  </si>
  <si>
    <t xml:space="preserve">Mensalidade</t>
  </si>
  <si>
    <t xml:space="preserve">Observações</t>
  </si>
  <si>
    <t xml:space="preserve">Condomínio Edifício Alagoas</t>
  </si>
  <si>
    <t xml:space="preserve">Centro</t>
  </si>
  <si>
    <t xml:space="preserve">Rua Alagoas, 340</t>
  </si>
  <si>
    <t xml:space="preserve">(17) 3522-9571</t>
  </si>
  <si>
    <t xml:space="preserve">Condomínio Edifício Arnaldo Bittencourt</t>
  </si>
  <si>
    <t xml:space="preserve">Rua Sergipe, 197</t>
  </si>
  <si>
    <t xml:space="preserve">(17) 3522-4176</t>
  </si>
  <si>
    <t xml:space="preserve">Condomínio Edifício Esther</t>
  </si>
  <si>
    <t xml:space="preserve">Rua Bahia, 143</t>
  </si>
  <si>
    <t xml:space="preserve">(17) 3522-7936</t>
  </si>
  <si>
    <t xml:space="preserve">Condomínio Edifício Floriano Lima</t>
  </si>
  <si>
    <t xml:space="preserve">Rua Mogi Mirim, 63</t>
  </si>
  <si>
    <t xml:space="preserve">(17) 3522-4104</t>
  </si>
  <si>
    <t xml:space="preserve">Condomínio Edifício Giselda</t>
  </si>
  <si>
    <t xml:space="preserve">Rua Minas Gerais, 155</t>
  </si>
  <si>
    <t xml:space="preserve">(17) 3523-2339</t>
  </si>
  <si>
    <t xml:space="preserve">Condomínio Edifício Marcílio Patriani</t>
  </si>
  <si>
    <t xml:space="preserve">Rua Pará, 433</t>
  </si>
  <si>
    <t xml:space="preserve">(17) 3523-7732</t>
  </si>
  <si>
    <t xml:space="preserve">Condomínio Edifício Monsenhor Albino</t>
  </si>
  <si>
    <t xml:space="preserve">Rua Bahia, 55</t>
  </si>
  <si>
    <t xml:space="preserve">(17) 3523-2342</t>
  </si>
  <si>
    <t xml:space="preserve">Condomínio Edifício Pedro Magoga</t>
  </si>
  <si>
    <t xml:space="preserve">R. Alagoas, 411</t>
  </si>
  <si>
    <t xml:space="preserve">(17) 3524-6012</t>
  </si>
  <si>
    <t xml:space="preserve">Condomínio Edifício Residencial Barcelona</t>
  </si>
  <si>
    <t xml:space="preserve">Rua Ceará, 550</t>
  </si>
  <si>
    <t xml:space="preserve">(17) 3522-0699</t>
  </si>
  <si>
    <t xml:space="preserve">Condomínio Edifício Residencial Higino Gradella</t>
  </si>
  <si>
    <t xml:space="preserve">Rua Teresina, 842</t>
  </si>
  <si>
    <t xml:space="preserve">(17) 3522-5000</t>
  </si>
  <si>
    <t xml:space="preserve">Condomínio Edifício Residencial Marieta Zancaner</t>
  </si>
  <si>
    <t xml:space="preserve">Rua Alagoas, 341</t>
  </si>
  <si>
    <t xml:space="preserve">(17) 3522-8622</t>
  </si>
  <si>
    <t xml:space="preserve">Condomínio Edifício Roque Barba</t>
  </si>
  <si>
    <t xml:space="preserve">Rua 13 de Maio, 341</t>
  </si>
  <si>
    <t xml:space="preserve">(17) 3522-6384</t>
  </si>
  <si>
    <t xml:space="preserve">Condomínio Edifício Santa Cruz</t>
  </si>
  <si>
    <t xml:space="preserve">Rua Aracaju, 390</t>
  </si>
  <si>
    <t xml:space="preserve">(17) 3521-6565</t>
  </si>
  <si>
    <t xml:space="preserve">Condomínio Edifício Shangri-Lá</t>
  </si>
  <si>
    <t xml:space="preserve">Rua Aracaju, 545</t>
  </si>
  <si>
    <t xml:space="preserve">(17) 3524-1078</t>
  </si>
  <si>
    <t xml:space="preserve">Condomínio Edifício Ângela Mastrocola</t>
  </si>
  <si>
    <t xml:space="preserve">Praça da República, 120</t>
  </si>
  <si>
    <t xml:space="preserve">(17) 3522-4428</t>
  </si>
  <si>
    <t xml:space="preserve">Condomínio Residencial Cuiabá</t>
  </si>
  <si>
    <t xml:space="preserve">Rua Cuiabá, 1535</t>
  </si>
  <si>
    <t xml:space="preserve">(17) 99272-6252</t>
  </si>
  <si>
    <t xml:space="preserve">Condomínio Residencial Escala</t>
  </si>
  <si>
    <t xml:space="preserve">Praça Nove de Julho, 176</t>
  </si>
  <si>
    <t xml:space="preserve">(17) 3523-6304</t>
  </si>
  <si>
    <t xml:space="preserve">Condomínio Residencial Fuad Bauab</t>
  </si>
  <si>
    <t xml:space="preserve">Rua 13 de Maio, 842</t>
  </si>
  <si>
    <t xml:space="preserve">(17) 3524-5033</t>
  </si>
  <si>
    <t xml:space="preserve">Condomínio Residencial Itapoã</t>
  </si>
  <si>
    <t xml:space="preserve">R. Pernambuco, 340</t>
  </si>
  <si>
    <t xml:space="preserve">(17) 3523-2338</t>
  </si>
  <si>
    <t xml:space="preserve">Condomínio Residencial Jardim do Bosque</t>
  </si>
  <si>
    <t xml:space="preserve">Av. Daniel Soubhia, 1370</t>
  </si>
  <si>
    <t xml:space="preserve">(17) 3525-5824</t>
  </si>
  <si>
    <t xml:space="preserve">Condomínio Residencial Pontal da Barra</t>
  </si>
  <si>
    <t xml:space="preserve">Rua Alagoas, 944</t>
  </si>
  <si>
    <t xml:space="preserve">(17) 3525-1839</t>
  </si>
  <si>
    <t xml:space="preserve">Condomínio Residencial San Martim</t>
  </si>
  <si>
    <t xml:space="preserve">Rua Bahia, 82</t>
  </si>
  <si>
    <t xml:space="preserve">(17) 3523-9367</t>
  </si>
  <si>
    <t xml:space="preserve">Conjunto Residencial Ilhas Gregas</t>
  </si>
  <si>
    <t xml:space="preserve">Rua Sergipe, 609</t>
  </si>
  <si>
    <t xml:space="preserve">(17) 3522-0373</t>
  </si>
  <si>
    <t xml:space="preserve">Edifício Mediterrâneo</t>
  </si>
  <si>
    <t xml:space="preserve">Rua Bahia, 27</t>
  </si>
  <si>
    <t xml:space="preserve">(17) 3524-4017</t>
  </si>
  <si>
    <t xml:space="preserve">Edifício Renato Ribeiro</t>
  </si>
  <si>
    <t xml:space="preserve">Rua Aracaju, 381</t>
  </si>
  <si>
    <t xml:space="preserve">(17) 3524-7182</t>
  </si>
  <si>
    <t xml:space="preserve">Condomínio Edifício Bahamas</t>
  </si>
  <si>
    <t xml:space="preserve">Higienópolis</t>
  </si>
  <si>
    <t xml:space="preserve">Rua Espírito Santo, 60</t>
  </si>
  <si>
    <t xml:space="preserve">(17) 3523-4457</t>
  </si>
  <si>
    <t xml:space="preserve">Condomínio Edifício Residencial Higienópolis</t>
  </si>
  <si>
    <t xml:space="preserve">Praça Independência, 31</t>
  </si>
  <si>
    <t xml:space="preserve">(17) 3525-1991</t>
  </si>
  <si>
    <t xml:space="preserve">Condomínio Residencial Emerald Park</t>
  </si>
  <si>
    <t xml:space="preserve">Jardim Santa Helena</t>
  </si>
  <si>
    <t xml:space="preserve">Av. São Vicente de Paulo, 5000</t>
  </si>
  <si>
    <t xml:space="preserve">(17) 3524-2352</t>
  </si>
  <si>
    <t xml:space="preserve">Condomínio Residencial Jardim das Flores</t>
  </si>
  <si>
    <t xml:space="preserve">Jardim Soto</t>
  </si>
  <si>
    <t xml:space="preserve">Rua Cardoso, 43</t>
  </si>
  <si>
    <t xml:space="preserve">(17) 3305-1741</t>
  </si>
  <si>
    <t xml:space="preserve">Condomínio Manoel Pires Barbosa</t>
  </si>
  <si>
    <t xml:space="preserve">Parque Glória</t>
  </si>
  <si>
    <t xml:space="preserve">Rua Colina, 965</t>
  </si>
  <si>
    <t xml:space="preserve">(17) 3524-4284</t>
  </si>
  <si>
    <t xml:space="preserve">Condomínio Residencial Florença</t>
  </si>
  <si>
    <t xml:space="preserve">Parque Iracema</t>
  </si>
  <si>
    <t xml:space="preserve">Rua dos Estudantes, 75</t>
  </si>
  <si>
    <t xml:space="preserve">(17) 3522-0921</t>
  </si>
  <si>
    <t xml:space="preserve">Edifício Residencial Porto Village</t>
  </si>
  <si>
    <t xml:space="preserve">Residencial Moreschi</t>
  </si>
  <si>
    <t xml:space="preserve">Rua Bragança Paulista, 150</t>
  </si>
  <si>
    <t xml:space="preserve">(17) 3523-4908</t>
  </si>
  <si>
    <t xml:space="preserve">Condomínio Edifício Residencial Andorinhas</t>
  </si>
  <si>
    <t xml:space="preserve">São Francisco</t>
  </si>
  <si>
    <t xml:space="preserve">Rua América, 105</t>
  </si>
  <si>
    <t xml:space="preserve">(17) 3524-1409</t>
  </si>
  <si>
    <t xml:space="preserve">Condomínio Edifício Residencial Petrópolis</t>
  </si>
  <si>
    <t xml:space="preserve">Rua Petrópolis, 100</t>
  </si>
  <si>
    <t xml:space="preserve">(17) 99709-4492</t>
  </si>
  <si>
    <t xml:space="preserve">Condomínio Edifício Prof. Raul do Prado Vianna</t>
  </si>
  <si>
    <t xml:space="preserve">(17) 3523-1015</t>
  </si>
  <si>
    <t xml:space="preserve">Condomínio Edifício Residencial Veneza</t>
  </si>
  <si>
    <t xml:space="preserve"></t>
  </si>
  <si>
    <t xml:space="preserve">Rua Amazonas, 290</t>
  </si>
  <si>
    <t xml:space="preserve">(17) 3522-8803</t>
  </si>
  <si>
    <t xml:space="preserve">Condomínio Edifício Amazonas</t>
  </si>
  <si>
    <t xml:space="preserve">Rua Minas Gerais, 106</t>
  </si>
  <si>
    <t xml:space="preserve">(17) 3522-4223</t>
  </si>
  <si>
    <t xml:space="preserve">Telefone repetido em: Condomínio Edifício Manaus</t>
  </si>
  <si>
    <t xml:space="preserve">Condomínio Edifício Bahia</t>
  </si>
  <si>
    <t xml:space="preserve">Rua Bahia, 321</t>
  </si>
  <si>
    <t xml:space="preserve">(17) 3045-3650</t>
  </si>
  <si>
    <t xml:space="preserve">Telefone repetido em: Condomínio Residencial Bahia</t>
  </si>
  <si>
    <t xml:space="preserve">Condomínio Edifício João Alonso Garcia</t>
  </si>
  <si>
    <t xml:space="preserve">Praça 9 de Julho, 131</t>
  </si>
  <si>
    <t xml:space="preserve">(17) 3521-7019</t>
  </si>
  <si>
    <t xml:space="preserve">Telefone repetido em: Condomínio Edifício Residencial Antônio Alonso Garcia</t>
  </si>
  <si>
    <t xml:space="preserve">Condomínio Residencial Bahia</t>
  </si>
  <si>
    <t xml:space="preserve">Telefone repetido em: Condomínio Edifício Bahia</t>
  </si>
  <si>
    <t xml:space="preserve">Edifício Engenheiro José Nelson Machado</t>
  </si>
  <si>
    <t xml:space="preserve">Praça da República, 145</t>
  </si>
  <si>
    <t xml:space="preserve">(11) 4020-2208</t>
  </si>
  <si>
    <t xml:space="preserve">DDD 11 — Catanduva é DDD 17</t>
  </si>
  <si>
    <t xml:space="preserve">Edifício Residencial Alvorada</t>
  </si>
  <si>
    <t xml:space="preserve">Rua Ceará, 859</t>
  </si>
  <si>
    <t xml:space="preserve">(17) 3522-1257</t>
  </si>
  <si>
    <t xml:space="preserve">Telefone repetido em: Residencial Jardim Alvorada; Condomínio Residencial Flamboyant</t>
  </si>
  <si>
    <t xml:space="preserve">Condomínio Residencial Flamboyant</t>
  </si>
  <si>
    <t xml:space="preserve">Conj. Hab. Pref. João Righini</t>
  </si>
  <si>
    <t xml:space="preserve">Rua Atibaia, 90</t>
  </si>
  <si>
    <t xml:space="preserve">Telefone repetido em: Residencial Jardim Alvorada; Edifício Residencial Alvorada</t>
  </si>
  <si>
    <t xml:space="preserve">Condomínio Edifício Residencial Antônio Alonso Garcia</t>
  </si>
  <si>
    <t xml:space="preserve">Rua Mato Grosso, 585</t>
  </si>
  <si>
    <t xml:space="preserve">Telefone repetido em: Condomínio Edifício João Alonso Garcia</t>
  </si>
  <si>
    <t xml:space="preserve">Condomínio Residencial Gabriela</t>
  </si>
  <si>
    <t xml:space="preserve">Jardim Belém</t>
  </si>
  <si>
    <t xml:space="preserve">Rua São Carlos, 1117</t>
  </si>
  <si>
    <t xml:space="preserve">(17) 523-5719</t>
  </si>
  <si>
    <t xml:space="preserve">Só 7 dígitos após o DDD — número incompleto</t>
  </si>
  <si>
    <t xml:space="preserve">Condomínio Residencial Paineiras</t>
  </si>
  <si>
    <t xml:space="preserve">Nações Unidas</t>
  </si>
  <si>
    <t xml:space="preserve">Rua José Frias Garcia, 510</t>
  </si>
  <si>
    <t xml:space="preserve">(17) 9724-9546</t>
  </si>
  <si>
    <t xml:space="preserve">Celular sem o 9 — provavelmente falta um dígito</t>
  </si>
  <si>
    <t xml:space="preserve">Condomínio Edifício Gaivotas</t>
  </si>
  <si>
    <t xml:space="preserve">Rua Morro Agudo, 500</t>
  </si>
  <si>
    <t xml:space="preserve">(17) 522-7130</t>
  </si>
  <si>
    <t xml:space="preserve">Condomínio Edifício Parque Residencial Estoril</t>
  </si>
  <si>
    <t xml:space="preserve">Vila Amendola</t>
  </si>
  <si>
    <t xml:space="preserve">Rua Treze de Maio, 1900</t>
  </si>
  <si>
    <t xml:space="preserve">(17) 9102-7899</t>
  </si>
  <si>
    <t xml:space="preserve">Condomínio Residencial San Paolo</t>
  </si>
  <si>
    <t xml:space="preserve">Vila Mota</t>
  </si>
  <si>
    <t xml:space="preserve">Rua São Paulo, 715</t>
  </si>
  <si>
    <t xml:space="preserve">(17) 523-6100</t>
  </si>
  <si>
    <t xml:space="preserve">Condomínio Residencial Félix Sahão</t>
  </si>
  <si>
    <t xml:space="preserve">Vila Rodrigues</t>
  </si>
  <si>
    <t xml:space="preserve">Av. Benedito Zancaner, 1765</t>
  </si>
  <si>
    <t xml:space="preserve">(18) 3622-3544</t>
  </si>
  <si>
    <t xml:space="preserve">DDD 18 — Catanduva é DDD 17</t>
  </si>
  <si>
    <t xml:space="preserve">Condomínio Edifício Manaus</t>
  </si>
  <si>
    <t xml:space="preserve">Rua Manaus, 425</t>
  </si>
  <si>
    <t xml:space="preserve">Telefone repetido em: Condomínio Edifício Amazonas</t>
  </si>
  <si>
    <t xml:space="preserve">Condomínio Edifício Arquiteto Roberto Yazigi</t>
  </si>
  <si>
    <t xml:space="preserve">Rua 13 de Maio, 337</t>
  </si>
  <si>
    <t xml:space="preserve">sem telefone</t>
  </si>
  <si>
    <t xml:space="preserve">Condomínio Edifício Caioba</t>
  </si>
  <si>
    <t xml:space="preserve">Rua Ceará, 712</t>
  </si>
  <si>
    <t xml:space="preserve">Condomínio Edifício Comendador Elias Wady</t>
  </si>
  <si>
    <t xml:space="preserve">Rua Pernambuco, 267</t>
  </si>
  <si>
    <t xml:space="preserve">Condomínio Edifício Estrela Maia</t>
  </si>
  <si>
    <t xml:space="preserve">Rua Amazonas, 1577</t>
  </si>
  <si>
    <t xml:space="preserve">Condomínio Edifício Residencial Antônio Dispore</t>
  </si>
  <si>
    <t xml:space="preserve">Rua Recife, 585</t>
  </si>
  <si>
    <t xml:space="preserve">Condomínio Edifício Residencial Fabiano Ramos</t>
  </si>
  <si>
    <t xml:space="preserve">Rua Maranhão, 1560</t>
  </si>
  <si>
    <t xml:space="preserve">Condomínio Edifício Residencial Monte Carlo</t>
  </si>
  <si>
    <t xml:space="preserve">Rua Alagoas, 654</t>
  </si>
  <si>
    <t xml:space="preserve">Condomínio Edifício Residencial Octávio Anovazzi</t>
  </si>
  <si>
    <t xml:space="preserve">Rua Bahia, 1044</t>
  </si>
  <si>
    <t xml:space="preserve">Condomínio Edifício Residencial Serra Negra</t>
  </si>
  <si>
    <t xml:space="preserve">Rua Maranhão, 742</t>
  </si>
  <si>
    <t xml:space="preserve">Condomínio Residencial Aurélio Righini</t>
  </si>
  <si>
    <t xml:space="preserve">Rua Treze de Maio, 1779</t>
  </si>
  <si>
    <t xml:space="preserve">Condomínio Residencial Itamaracá</t>
  </si>
  <si>
    <t xml:space="preserve">Rua Fortaleza, 365</t>
  </si>
  <si>
    <t xml:space="preserve">Condomínio Residencial João Rojas Frias</t>
  </si>
  <si>
    <t xml:space="preserve">Rua 14 de Abril, 548</t>
  </si>
  <si>
    <t xml:space="preserve">Condomínio Solar dos Girassóis</t>
  </si>
  <si>
    <t xml:space="preserve">Jardim Martani</t>
  </si>
  <si>
    <t xml:space="preserve">Rua Francisco Galli, 112</t>
  </si>
  <si>
    <t xml:space="preserve">Condomínio Residencial Spazio Santa Izabel</t>
  </si>
  <si>
    <t xml:space="preserve">Rua Santa Izabel, 33</t>
  </si>
  <si>
    <t xml:space="preserve">Condomínio Residencial Bela Vista</t>
  </si>
  <si>
    <t xml:space="preserve">Rua Taubaté, 1153</t>
  </si>
  <si>
    <t xml:space="preserve">Condomínio Edifício Parque Iracema</t>
  </si>
  <si>
    <t xml:space="preserve">Rua Morro Agudo, 120</t>
  </si>
  <si>
    <t xml:space="preserve">Condomínio Edifício Residencial Itaparica</t>
  </si>
  <si>
    <t xml:space="preserve">San Remo</t>
  </si>
  <si>
    <t xml:space="preserve">Rua Morro Agudo, 800</t>
  </si>
  <si>
    <t xml:space="preserve">Condomínio Edifício Residencial San Raphael</t>
  </si>
  <si>
    <t xml:space="preserve">Rua Ilhéus, 1295</t>
  </si>
  <si>
    <t xml:space="preserve">Condomínio Residencial Catuaí</t>
  </si>
  <si>
    <t xml:space="preserve">TOTAL</t>
  </si>
  <si>
    <t xml:space="preserve">Condomínios para ligar</t>
  </si>
  <si>
    <t xml:space="preserve">Com telefone confiável</t>
  </si>
  <si>
    <t xml:space="preserve">Já contatados</t>
  </si>
  <si>
    <t xml:space="preserve">Unidades já levantadas</t>
  </si>
  <si>
    <t xml:space="preserve">Leads quentes</t>
  </si>
  <si>
    <t xml:space="preserve">MRR potencial já apurado</t>
  </si>
  <si>
    <t xml:space="preserve">15 telefones com problema — confira antes de ligar</t>
  </si>
  <si>
    <t xml:space="preserve">Números incompletos, DDD errado ou repetidos em prédios diferentes. Ligar assim é perder tempo.</t>
  </si>
  <si>
    <t xml:space="preserve">Telefone como está na sua lista</t>
  </si>
  <si>
    <t xml:space="preserve">O que está errado</t>
  </si>
  <si>
    <t xml:space="preserve">Telefone correto (preencher)</t>
  </si>
  <si>
    <t xml:space="preserve">(17) 5227-130</t>
  </si>
  <si>
    <t xml:space="preserve">+55 11 4020-2208</t>
  </si>
  <si>
    <t xml:space="preserve">1791027899</t>
  </si>
  <si>
    <t xml:space="preserve">(17) 5236-100</t>
  </si>
  <si>
    <t xml:space="preserve">(17) 5235-719</t>
  </si>
  <si>
    <t xml:space="preserve">55 (17) 3522-4223</t>
  </si>
  <si>
    <t xml:space="preserve">17 3522.1257</t>
  </si>
  <si>
    <t xml:space="preserve">26 condomínios que não estão no seu arquivo</t>
  </si>
  <si>
    <t xml:space="preserve">Apareceram no levantamento público e não constam na sua planilha. Falta só o telefone.</t>
  </si>
  <si>
    <t xml:space="preserve">Telefone (preencher)</t>
  </si>
  <si>
    <t xml:space="preserve">Observação</t>
  </si>
  <si>
    <t xml:space="preserve">Residencial Casa de Atenas</t>
  </si>
  <si>
    <t xml:space="preserve">Rua Uruguaiana, 2221</t>
  </si>
  <si>
    <t xml:space="preserve">Jardim Glória</t>
  </si>
  <si>
    <t xml:space="preserve">Residencial Casa de Viena</t>
  </si>
  <si>
    <t xml:space="preserve">Rua Uruguaiana, 2157</t>
  </si>
  <si>
    <t xml:space="preserve">Condomínio Edifício do Café</t>
  </si>
  <si>
    <t xml:space="preserve">Praça da República, 6</t>
  </si>
  <si>
    <t xml:space="preserve">Parque Casa Pienza</t>
  </si>
  <si>
    <t xml:space="preserve">Rua Doutor Cervantes Angulo, 295</t>
  </si>
  <si>
    <t xml:space="preserve">Parque Joaquim Lopes</t>
  </si>
  <si>
    <t xml:space="preserve">É seu cliente (Casa Pienza) — só não estava no arquivo</t>
  </si>
  <si>
    <t xml:space="preserve">Condomínio Residencial Varandas do Bosque</t>
  </si>
  <si>
    <t xml:space="preserve">Rua Campinas, 148</t>
  </si>
  <si>
    <t xml:space="preserve">Jardim do Bosque</t>
  </si>
  <si>
    <t xml:space="preserve">Condomínio Edifício Residencial Acapulco</t>
  </si>
  <si>
    <t xml:space="preserve">Rua Bahia, 521</t>
  </si>
  <si>
    <t xml:space="preserve">Condomínio Edifício Comercial Minas Center</t>
  </si>
  <si>
    <t xml:space="preserve">Rua 21 de Abril, 466</t>
  </si>
  <si>
    <t xml:space="preserve">Comercial — mesmo assim tem síndico, portaria e encomenda</t>
  </si>
  <si>
    <t xml:space="preserve">Condomínio Edifício Residencial San Remo</t>
  </si>
  <si>
    <t xml:space="preserve">Rua Ângelo Ceneviva, 137</t>
  </si>
  <si>
    <t xml:space="preserve">Condomínio Parque Casa de Leon</t>
  </si>
  <si>
    <t xml:space="preserve">Rua Uruguaiana, 1931</t>
  </si>
  <si>
    <t xml:space="preserve">Residencial Parque Casa de Cervantes</t>
  </si>
  <si>
    <t xml:space="preserve">Av. Manoel Francisco de Abreu, 272</t>
  </si>
  <si>
    <t xml:space="preserve">Jardim Monte Carlo</t>
  </si>
  <si>
    <t xml:space="preserve">Condomínio Edifício Catanduva Center Comercial</t>
  </si>
  <si>
    <t xml:space="preserve">Rua Treze de Maio, 271</t>
  </si>
  <si>
    <t xml:space="preserve">Parque Casa Bilbao</t>
  </si>
  <si>
    <t xml:space="preserve">Rua Colômbia, S/N</t>
  </si>
  <si>
    <t xml:space="preserve">Vila Juca Pedro</t>
  </si>
  <si>
    <t xml:space="preserve">Condomínio Residencial Vitória Régia</t>
  </si>
  <si>
    <t xml:space="preserve">Rua Bahia, 235</t>
  </si>
  <si>
    <t xml:space="preserve">Condomínio Edifício Drogasil-Catanduva</t>
  </si>
  <si>
    <t xml:space="preserve">Rua Brasil, 648</t>
  </si>
  <si>
    <t xml:space="preserve">Parque Casa de Málaga</t>
  </si>
  <si>
    <t xml:space="preserve">Rua Virgílio Mastrocola, 770</t>
  </si>
  <si>
    <t xml:space="preserve">Vila Motta</t>
  </si>
  <si>
    <t xml:space="preserve">Condomínio Edifício Professor Raul do Prado Vianna</t>
  </si>
  <si>
    <t xml:space="preserve">Rua Ceará, 527</t>
  </si>
  <si>
    <t xml:space="preserve">Condomínio Residencial Antônio Simieli</t>
  </si>
  <si>
    <t xml:space="preserve">Rua Minas Gerais, 180</t>
  </si>
  <si>
    <t xml:space="preserve">Condomínio Residencial Mirante da Bela Vista</t>
  </si>
  <si>
    <t xml:space="preserve">Rua Mogi Guaçu, 604</t>
  </si>
  <si>
    <t xml:space="preserve">Parque Casa Nova</t>
  </si>
  <si>
    <t xml:space="preserve">Rua Martinho Canozo, 250</t>
  </si>
  <si>
    <t xml:space="preserve">Condomínio Edifício Catanduva Shopping Center e Hotel</t>
  </si>
  <si>
    <t xml:space="preserve">Praça Monsenhor Albino, 114</t>
  </si>
  <si>
    <t xml:space="preserve">Conjunto Esportivo João Crippa</t>
  </si>
  <si>
    <t xml:space="preserve">Rua Colina, 65</t>
  </si>
  <si>
    <t xml:space="preserve">Loteamento Cerradinho</t>
  </si>
  <si>
    <t xml:space="preserve">Condomínio Edifício Prefeito Duarte Nogueira II</t>
  </si>
  <si>
    <t xml:space="preserve">Rua Piracicaba, 1000</t>
  </si>
  <si>
    <t xml:space="preserve">Santo Antônio</t>
  </si>
  <si>
    <t xml:space="preserve">Prédio vizinho ao seu cliente Duarte Nogueira I</t>
  </si>
  <si>
    <t xml:space="preserve">Parque Casa Pueblo</t>
  </si>
  <si>
    <t xml:space="preserve">Av. Dona Engrácia A. Romão, 771</t>
  </si>
  <si>
    <t xml:space="preserve">Vila Dona Engrácia</t>
  </si>
  <si>
    <t xml:space="preserve">Condomínio Sunset Student House</t>
  </si>
  <si>
    <t xml:space="preserve">Rodovia Alfredo Jorge, 25</t>
  </si>
  <si>
    <t xml:space="preserve">Jardim Oriental</t>
  </si>
  <si>
    <t xml:space="preserve">Moradia estudantil — verificar se é condomínio edilício</t>
  </si>
  <si>
    <t xml:space="preserve">Vista Impper (em obras)</t>
  </si>
  <si>
    <t xml:space="preserve">Av. Eng. José Nelson Machado, 1659</t>
  </si>
  <si>
    <t xml:space="preserve">Em obras · 160 unidades e 20 pavimentos · síndico ainda em formação</t>
  </si>
  <si>
    <t xml:space="preserve">Condomínio Residencial Idalina C. Kaiser</t>
  </si>
  <si>
    <t xml:space="preserve">11 condomínios do seu arquivo já são clientes da Prestare</t>
  </si>
  <si>
    <t xml:space="preserve">Não entre na fila de ligação como prospect — a conversa com eles é outra (migração para o app).</t>
  </si>
  <si>
    <t xml:space="preserve">Condomínio no seu arquivo</t>
  </si>
  <si>
    <t xml:space="preserve">Telefone</t>
  </si>
  <si>
    <t xml:space="preserve">Unidades (sua carteira)</t>
  </si>
  <si>
    <t xml:space="preserve">Condomínio Edifício Residencial Rio Negro</t>
  </si>
  <si>
    <t xml:space="preserve">(17) 3524-3108</t>
  </si>
  <si>
    <t xml:space="preserve">Condomínio Solar dos Ipês</t>
  </si>
  <si>
    <t xml:space="preserve">(17) 3522-7130</t>
  </si>
  <si>
    <t xml:space="preserve">Condomínio Edifício Residencial Porto Seguro</t>
  </si>
  <si>
    <t xml:space="preserve">Condomínio Edifício Grão Pará</t>
  </si>
  <si>
    <t xml:space="preserve">(17) 3521-1330</t>
  </si>
  <si>
    <t xml:space="preserve">Condomínio Edifício Residencial Santos Dumont</t>
  </si>
  <si>
    <t xml:space="preserve">Jardim Amêndola</t>
  </si>
  <si>
    <t xml:space="preserve">(17) 3522-5687</t>
  </si>
  <si>
    <t xml:space="preserve">Edifício Residencial Santorini</t>
  </si>
  <si>
    <t xml:space="preserve">Jardim Vertoni</t>
  </si>
  <si>
    <t xml:space="preserve">(17) 3523-9019</t>
  </si>
  <si>
    <t xml:space="preserve">Residencial Santa Josefa</t>
  </si>
  <si>
    <t xml:space="preserve">(17) 3521-3776</t>
  </si>
  <si>
    <t xml:space="preserve">Condomínio Edifício Veredas do Sol</t>
  </si>
  <si>
    <t xml:space="preserve">(17) 3524-2110</t>
  </si>
  <si>
    <t xml:space="preserve">Condomínio Edifício Prefeito Duarte Nogueira I</t>
  </si>
  <si>
    <t xml:space="preserve">Vila Maria Jorge</t>
  </si>
  <si>
    <t xml:space="preserve">(17) 3523-2891</t>
  </si>
  <si>
    <t xml:space="preserve">Residencial Jardim Alvorada</t>
  </si>
  <si>
    <t xml:space="preserve">Jardim do Lago</t>
  </si>
  <si>
    <t xml:space="preserve">Edifício Residencial Moreschi</t>
  </si>
  <si>
    <t xml:space="preserve">O que falar quando o porteiro atender</t>
  </si>
  <si>
    <t xml:space="preserve">A ligação tem um objetivo só: o contato do síndico.</t>
  </si>
  <si>
    <t xml:space="preserve">ABERTURA</t>
  </si>
  <si>
    <t xml:space="preserve">"Boa tarde! Aqui é o Vinicius, da Prestare Gestão, administradora de condomínios aqui de Catanduva. Tudo bem? Preciso de uma informação rápida — você consegue me ajudar?"</t>
  </si>
  <si>
    <t xml:space="preserve">Porteiro atende bem quando você trata ele como pessoa e não como obstáculo. Não peça para "falar com o responsável": peça ajuda.</t>
  </si>
  <si>
    <t xml:space="preserve">AS TRÊS PERGUNTAS — nesta ordem</t>
  </si>
  <si>
    <t xml:space="preserve">1. "Quantos apartamentos tem o prédio?" — comece por esta. É inofensiva, ele responde de cabeça, e é o dado que define o preço da sua proposta.</t>
  </si>
  <si>
    <t xml:space="preserve">2. "Vocês usam algum aplicativo pra registrar visitante e encomenda, ou é no caderno mesmo?" — a resposta diz se você tem concorrente e já revela a dor. Se ele disser "é no caderno", anote a frase: ela vira o argumento da sua reunião com o síndico.</t>
  </si>
  <si>
    <t xml:space="preserve">3. "Quem é o síndico hoje? Você tem o contato dele?" — só pergunte depois das duas primeiras. Perguntar isso de cara soa como venda e o porteiro fecha.</t>
  </si>
  <si>
    <t xml:space="preserve">SE ELE NÃO QUISER PASSAR O CONTATO</t>
  </si>
  <si>
    <t xml:space="preserve">"Sem problema, entendo. Você pode pedir pra ele me chamar no WhatsApp? Anota aí: Vinicius, da Prestare. É sobre um aplicativo que a gente lançou pra portaria e pro morador." Deixe o SEU número — funciona quase tão bem quanto pegar o dele.</t>
  </si>
  <si>
    <t xml:space="preserve">O QUE ANOTAR NA HORA</t>
  </si>
  <si>
    <t xml:space="preserve">Preencha as colunas amarelas da aba Lista de ligação enquanto fala. O número de unidades é o campo mais importante: assim que você digita, a mensalidade daquele condomínio aparece calculada.</t>
  </si>
  <si>
    <t xml:space="preserve">Marque o interesse como Quente quando o porteiro reclamar de algo (encomenda que some, visitante sem registro, morador brigando por reserva). Reclamação é sinal de compra.</t>
  </si>
  <si>
    <t xml:space="preserve">QUANDO LIGAR</t>
  </si>
  <si>
    <t xml:space="preserve">Portaria de prédio residencial responde melhor entre 9h e 11h e entre 14h e 17h. Evite início da noite, que é o pico de entrada de moradores. Segunda de manhã e sexta à tarde são os piores horários.</t>
  </si>
  <si>
    <t xml:space="preserve">META</t>
  </si>
  <si>
    <t xml:space="preserve">20 ligações por dia, 4 dias = os 70 prédios da lista em uma semana. Com 30% de retorno, são cerca de 20 contatos de síndico — pipeline suficiente para encher a festa de lançamento.</t>
  </si>
  <si>
    <t xml:space="preserve">Tabela de preço por zonas</t>
  </si>
  <si>
    <t xml:space="preserve">Edite só o amarelo. Alimenta o cálculo da lista de ligação.</t>
  </si>
  <si>
    <t xml:space="preserve">Limite superior</t>
  </si>
  <si>
    <t xml:space="preserve">Valor</t>
  </si>
  <si>
    <t xml:space="preserve">Compacto</t>
  </si>
  <si>
    <t xml:space="preserve">Até 30 unidades</t>
  </si>
  <si>
    <t xml:space="preserve">Padrão</t>
  </si>
  <si>
    <t xml:space="preserve">Da 31ª à 60ª</t>
  </si>
  <si>
    <t xml:space="preserve">Plus</t>
  </si>
  <si>
    <t xml:space="preserve">Da 61ª à 120ª</t>
  </si>
  <si>
    <t xml:space="preserve">Corporativo</t>
  </si>
  <si>
    <t xml:space="preserve">—</t>
  </si>
  <si>
    <t xml:space="preserve">Acima da 120ª</t>
  </si>
  <si>
    <t xml:space="preserve">Taxa de implantação (única)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</si>
</sst>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General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A63"/>
      <name val="Arial"/>
      <family val="0"/>
      <charset val="1"/>
    </font>
    <font>
      <i val="true"/>
      <sz val="10"/>
      <color rgb="FF5C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B3261E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9AA3B2"/>
      <name val="Arial"/>
      <family val="0"/>
      <charset val="1"/>
    </font>
    <font>
      <b val="true"/>
      <sz val="11"/>
      <color rgb="FF0B2A63"/>
      <name val="Arial"/>
      <family val="0"/>
      <charset val="1"/>
    </font>
    <font>
      <sz val="10"/>
      <color rgb="FF5C6E8C"/>
      <name val="Arial"/>
      <family val="0"/>
      <charset val="1"/>
    </font>
    <font>
      <sz val="9"/>
      <color rgb="FF5C6E8C"/>
      <name val="Arial"/>
      <family val="0"/>
      <charset val="1"/>
    </font>
    <font>
      <b val="true"/>
      <sz val="10"/>
      <color rgb="FF0E7C66"/>
      <name val="Arial"/>
      <family val="0"/>
      <charset val="1"/>
    </font>
    <font>
      <b val="true"/>
      <sz val="12"/>
      <color rgb="FF0B2A63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A6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5FC"/>
        <bgColor rgb="FFFFFFFF"/>
      </patternFill>
    </fill>
    <fill>
      <patternFill patternType="solid">
        <fgColor rgb="FFFFC8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C0C0C0"/>
      <rgbColor rgb="FF808080"/>
      <rgbColor rgb="FF9999FF"/>
      <rgbColor rgb="FF993366"/>
      <rgbColor rgb="FFF2F5FC"/>
      <rgbColor rgb="FFCCFFFF"/>
      <rgbColor rgb="FF660066"/>
      <rgbColor rgb="FFFF8080"/>
      <rgbColor rgb="FF0066CC"/>
      <rgbColor rgb="FFD6DE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800"/>
      <rgbColor rgb="FFFF9900"/>
      <rgbColor rgb="FFFF6600"/>
      <rgbColor rgb="FF5C6E8C"/>
      <rgbColor rgb="FF9AA3B2"/>
      <rgbColor rgb="FF0B2A63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20"/>
    <col collapsed="false" customWidth="true" hidden="false" outlineLevel="0" max="12" min="12" style="0" width="10"/>
    <col collapsed="false" customWidth="true" hidden="false" outlineLevel="0" max="14" min="13" style="0" width="16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8" min="18" style="0" width="15"/>
    <col collapsed="false" customWidth="true" hidden="false" outlineLevel="0" max="19" min="19" style="0" width="34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36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</row>
    <row r="7" customFormat="false" ht="15" hidden="false" customHeight="false" outlineLevel="0" collapsed="false">
      <c r="B7" s="4" t="n">
        <v>1</v>
      </c>
      <c r="C7" s="5" t="s">
        <v>20</v>
      </c>
      <c r="D7" s="5" t="s">
        <v>21</v>
      </c>
      <c r="E7" s="5" t="s">
        <v>22</v>
      </c>
      <c r="F7" s="6" t="s">
        <v>23</v>
      </c>
      <c r="G7" s="7"/>
      <c r="H7" s="8"/>
      <c r="I7" s="8"/>
      <c r="J7" s="8"/>
      <c r="K7" s="8"/>
      <c r="L7" s="9"/>
      <c r="M7" s="8"/>
      <c r="N7" s="8"/>
      <c r="O7" s="8"/>
      <c r="P7" s="8"/>
      <c r="Q7" s="4" t="str">
        <f aca="false">IF(L7="","",IF(L7&lt;=Preço!$C$7,Preço!$B$7,IF(L7&lt;=Preço!$C$8,Preço!$B$8,IF(L7&lt;=Preço!$C$9,Preço!$B$9,Preço!$B$10))))</f>
        <v/>
      </c>
      <c r="R7" s="10" t="str">
        <f aca="false">IF(L7="","",Preço!$D$7+MAX(0,MIN(L7,Preço!$C$8)-Preço!$C$7)*Preço!$D$8+MAX(0,MIN(L7,Preço!$C$9)-Preço!$C$8)*Preço!$D$9+MAX(0,L7-Preço!$C$9)*Preço!$D$10)</f>
        <v/>
      </c>
      <c r="S7" s="8"/>
    </row>
    <row r="8" customFormat="false" ht="15" hidden="false" customHeight="false" outlineLevel="0" collapsed="false">
      <c r="B8" s="11" t="n">
        <v>2</v>
      </c>
      <c r="C8" s="12" t="s">
        <v>24</v>
      </c>
      <c r="D8" s="12" t="s">
        <v>21</v>
      </c>
      <c r="E8" s="12" t="s">
        <v>25</v>
      </c>
      <c r="F8" s="13" t="s">
        <v>26</v>
      </c>
      <c r="G8" s="14"/>
      <c r="H8" s="8"/>
      <c r="I8" s="8"/>
      <c r="J8" s="8"/>
      <c r="K8" s="8"/>
      <c r="L8" s="9"/>
      <c r="M8" s="8"/>
      <c r="N8" s="8"/>
      <c r="O8" s="8"/>
      <c r="P8" s="8"/>
      <c r="Q8" s="11" t="str">
        <f aca="false">IF(L8="","",IF(L8&lt;=Preço!$C$7,Preço!$B$7,IF(L8&lt;=Preço!$C$8,Preço!$B$8,IF(L8&lt;=Preço!$C$9,Preço!$B$9,Preço!$B$10))))</f>
        <v/>
      </c>
      <c r="R8" s="15" t="str">
        <f aca="false">IF(L8="","",Preço!$D$7+MAX(0,MIN(L8,Preço!$C$8)-Preço!$C$7)*Preço!$D$8+MAX(0,MIN(L8,Preço!$C$9)-Preço!$C$8)*Preço!$D$9+MAX(0,L8-Preço!$C$9)*Preço!$D$10)</f>
        <v/>
      </c>
      <c r="S8" s="8"/>
    </row>
    <row r="9" customFormat="false" ht="15" hidden="false" customHeight="false" outlineLevel="0" collapsed="false">
      <c r="B9" s="4" t="n">
        <v>3</v>
      </c>
      <c r="C9" s="5" t="s">
        <v>27</v>
      </c>
      <c r="D9" s="5" t="s">
        <v>21</v>
      </c>
      <c r="E9" s="5" t="s">
        <v>28</v>
      </c>
      <c r="F9" s="6" t="s">
        <v>29</v>
      </c>
      <c r="G9" s="7"/>
      <c r="H9" s="8"/>
      <c r="I9" s="8"/>
      <c r="J9" s="8"/>
      <c r="K9" s="8"/>
      <c r="L9" s="9"/>
      <c r="M9" s="8"/>
      <c r="N9" s="8"/>
      <c r="O9" s="8"/>
      <c r="P9" s="8"/>
      <c r="Q9" s="4" t="str">
        <f aca="false">IF(L9="","",IF(L9&lt;=Preço!$C$7,Preço!$B$7,IF(L9&lt;=Preço!$C$8,Preço!$B$8,IF(L9&lt;=Preço!$C$9,Preço!$B$9,Preço!$B$10))))</f>
        <v/>
      </c>
      <c r="R9" s="10" t="str">
        <f aca="false">IF(L9="","",Preço!$D$7+MAX(0,MIN(L9,Preço!$C$8)-Preço!$C$7)*Preço!$D$8+MAX(0,MIN(L9,Preço!$C$9)-Preço!$C$8)*Preço!$D$9+MAX(0,L9-Preço!$C$9)*Preço!$D$10)</f>
        <v/>
      </c>
      <c r="S9" s="8"/>
    </row>
    <row r="10" customFormat="false" ht="15" hidden="false" customHeight="false" outlineLevel="0" collapsed="false">
      <c r="B10" s="11" t="n">
        <v>4</v>
      </c>
      <c r="C10" s="12" t="s">
        <v>30</v>
      </c>
      <c r="D10" s="12" t="s">
        <v>21</v>
      </c>
      <c r="E10" s="12" t="s">
        <v>31</v>
      </c>
      <c r="F10" s="13" t="s">
        <v>32</v>
      </c>
      <c r="G10" s="14"/>
      <c r="H10" s="8"/>
      <c r="I10" s="8"/>
      <c r="J10" s="8"/>
      <c r="K10" s="8"/>
      <c r="L10" s="9"/>
      <c r="M10" s="8"/>
      <c r="N10" s="8"/>
      <c r="O10" s="8"/>
      <c r="P10" s="8"/>
      <c r="Q10" s="11" t="str">
        <f aca="false">IF(L10="","",IF(L10&lt;=Preço!$C$7,Preço!$B$7,IF(L10&lt;=Preço!$C$8,Preço!$B$8,IF(L10&lt;=Preço!$C$9,Preço!$B$9,Preço!$B$10))))</f>
        <v/>
      </c>
      <c r="R10" s="15" t="str">
        <f aca="false">IF(L10="","",Preço!$D$7+MAX(0,MIN(L10,Preço!$C$8)-Preço!$C$7)*Preço!$D$8+MAX(0,MIN(L10,Preço!$C$9)-Preço!$C$8)*Preço!$D$9+MAX(0,L10-Preço!$C$9)*Preço!$D$10)</f>
        <v/>
      </c>
      <c r="S10" s="8"/>
    </row>
    <row r="11" customFormat="false" ht="15" hidden="false" customHeight="false" outlineLevel="0" collapsed="false">
      <c r="B11" s="4" t="n">
        <v>5</v>
      </c>
      <c r="C11" s="5" t="s">
        <v>33</v>
      </c>
      <c r="D11" s="5" t="s">
        <v>21</v>
      </c>
      <c r="E11" s="5" t="s">
        <v>34</v>
      </c>
      <c r="F11" s="6" t="s">
        <v>35</v>
      </c>
      <c r="G11" s="7"/>
      <c r="H11" s="8"/>
      <c r="I11" s="8"/>
      <c r="J11" s="8"/>
      <c r="K11" s="8"/>
      <c r="L11" s="9"/>
      <c r="M11" s="8"/>
      <c r="N11" s="8"/>
      <c r="O11" s="8"/>
      <c r="P11" s="8"/>
      <c r="Q11" s="4" t="str">
        <f aca="false">IF(L11="","",IF(L11&lt;=Preço!$C$7,Preço!$B$7,IF(L11&lt;=Preço!$C$8,Preço!$B$8,IF(L11&lt;=Preço!$C$9,Preço!$B$9,Preço!$B$10))))</f>
        <v/>
      </c>
      <c r="R11" s="10" t="str">
        <f aca="false">IF(L11="","",Preço!$D$7+MAX(0,MIN(L11,Preço!$C$8)-Preço!$C$7)*Preço!$D$8+MAX(0,MIN(L11,Preço!$C$9)-Preço!$C$8)*Preço!$D$9+MAX(0,L11-Preço!$C$9)*Preço!$D$10)</f>
        <v/>
      </c>
      <c r="S11" s="8"/>
    </row>
    <row r="12" customFormat="false" ht="15" hidden="false" customHeight="false" outlineLevel="0" collapsed="false">
      <c r="B12" s="11" t="n">
        <v>6</v>
      </c>
      <c r="C12" s="12" t="s">
        <v>36</v>
      </c>
      <c r="D12" s="12" t="s">
        <v>21</v>
      </c>
      <c r="E12" s="12" t="s">
        <v>37</v>
      </c>
      <c r="F12" s="13" t="s">
        <v>38</v>
      </c>
      <c r="G12" s="14"/>
      <c r="H12" s="8"/>
      <c r="I12" s="8"/>
      <c r="J12" s="8"/>
      <c r="K12" s="8"/>
      <c r="L12" s="9"/>
      <c r="M12" s="8"/>
      <c r="N12" s="8"/>
      <c r="O12" s="8"/>
      <c r="P12" s="8"/>
      <c r="Q12" s="11" t="str">
        <f aca="false">IF(L12="","",IF(L12&lt;=Preço!$C$7,Preço!$B$7,IF(L12&lt;=Preço!$C$8,Preço!$B$8,IF(L12&lt;=Preço!$C$9,Preço!$B$9,Preço!$B$10))))</f>
        <v/>
      </c>
      <c r="R12" s="15" t="str">
        <f aca="false">IF(L12="","",Preço!$D$7+MAX(0,MIN(L12,Preço!$C$8)-Preço!$C$7)*Preço!$D$8+MAX(0,MIN(L12,Preço!$C$9)-Preço!$C$8)*Preço!$D$9+MAX(0,L12-Preço!$C$9)*Preço!$D$10)</f>
        <v/>
      </c>
      <c r="S12" s="8"/>
    </row>
    <row r="13" customFormat="false" ht="15" hidden="false" customHeight="false" outlineLevel="0" collapsed="false">
      <c r="B13" s="4" t="n">
        <v>7</v>
      </c>
      <c r="C13" s="5" t="s">
        <v>39</v>
      </c>
      <c r="D13" s="5" t="s">
        <v>21</v>
      </c>
      <c r="E13" s="5" t="s">
        <v>40</v>
      </c>
      <c r="F13" s="6" t="s">
        <v>41</v>
      </c>
      <c r="G13" s="7"/>
      <c r="H13" s="8"/>
      <c r="I13" s="8"/>
      <c r="J13" s="8"/>
      <c r="K13" s="8"/>
      <c r="L13" s="9"/>
      <c r="M13" s="8"/>
      <c r="N13" s="8"/>
      <c r="O13" s="8"/>
      <c r="P13" s="8"/>
      <c r="Q13" s="4" t="str">
        <f aca="false">IF(L13="","",IF(L13&lt;=Preço!$C$7,Preço!$B$7,IF(L13&lt;=Preço!$C$8,Preço!$B$8,IF(L13&lt;=Preço!$C$9,Preço!$B$9,Preço!$B$10))))</f>
        <v/>
      </c>
      <c r="R13" s="10" t="str">
        <f aca="false">IF(L13="","",Preço!$D$7+MAX(0,MIN(L13,Preço!$C$8)-Preço!$C$7)*Preço!$D$8+MAX(0,MIN(L13,Preço!$C$9)-Preço!$C$8)*Preço!$D$9+MAX(0,L13-Preço!$C$9)*Preço!$D$10)</f>
        <v/>
      </c>
      <c r="S13" s="8"/>
    </row>
    <row r="14" customFormat="false" ht="15" hidden="false" customHeight="false" outlineLevel="0" collapsed="false">
      <c r="B14" s="11" t="n">
        <v>8</v>
      </c>
      <c r="C14" s="12" t="s">
        <v>42</v>
      </c>
      <c r="D14" s="12" t="s">
        <v>21</v>
      </c>
      <c r="E14" s="12" t="s">
        <v>43</v>
      </c>
      <c r="F14" s="13" t="s">
        <v>44</v>
      </c>
      <c r="G14" s="14"/>
      <c r="H14" s="8"/>
      <c r="I14" s="8"/>
      <c r="J14" s="8"/>
      <c r="K14" s="8"/>
      <c r="L14" s="9"/>
      <c r="M14" s="8"/>
      <c r="N14" s="8"/>
      <c r="O14" s="8"/>
      <c r="P14" s="8"/>
      <c r="Q14" s="11" t="str">
        <f aca="false">IF(L14="","",IF(L14&lt;=Preço!$C$7,Preço!$B$7,IF(L14&lt;=Preço!$C$8,Preço!$B$8,IF(L14&lt;=Preço!$C$9,Preço!$B$9,Preço!$B$10))))</f>
        <v/>
      </c>
      <c r="R14" s="15" t="str">
        <f aca="false">IF(L14="","",Preço!$D$7+MAX(0,MIN(L14,Preço!$C$8)-Preço!$C$7)*Preço!$D$8+MAX(0,MIN(L14,Preço!$C$9)-Preço!$C$8)*Preço!$D$9+MAX(0,L14-Preço!$C$9)*Preço!$D$10)</f>
        <v/>
      </c>
      <c r="S14" s="8"/>
    </row>
    <row r="15" customFormat="false" ht="15" hidden="false" customHeight="false" outlineLevel="0" collapsed="false">
      <c r="B15" s="4" t="n">
        <v>9</v>
      </c>
      <c r="C15" s="5" t="s">
        <v>45</v>
      </c>
      <c r="D15" s="5" t="s">
        <v>21</v>
      </c>
      <c r="E15" s="5" t="s">
        <v>46</v>
      </c>
      <c r="F15" s="6" t="s">
        <v>47</v>
      </c>
      <c r="G15" s="7"/>
      <c r="H15" s="8"/>
      <c r="I15" s="8"/>
      <c r="J15" s="8"/>
      <c r="K15" s="8"/>
      <c r="L15" s="9"/>
      <c r="M15" s="8"/>
      <c r="N15" s="8"/>
      <c r="O15" s="8"/>
      <c r="P15" s="8"/>
      <c r="Q15" s="4" t="str">
        <f aca="false">IF(L15="","",IF(L15&lt;=Preço!$C$7,Preço!$B$7,IF(L15&lt;=Preço!$C$8,Preço!$B$8,IF(L15&lt;=Preço!$C$9,Preço!$B$9,Preço!$B$10))))</f>
        <v/>
      </c>
      <c r="R15" s="10" t="str">
        <f aca="false">IF(L15="","",Preço!$D$7+MAX(0,MIN(L15,Preço!$C$8)-Preço!$C$7)*Preço!$D$8+MAX(0,MIN(L15,Preço!$C$9)-Preço!$C$8)*Preço!$D$9+MAX(0,L15-Preço!$C$9)*Preço!$D$10)</f>
        <v/>
      </c>
      <c r="S15" s="8"/>
    </row>
    <row r="16" customFormat="false" ht="15" hidden="false" customHeight="false" outlineLevel="0" collapsed="false">
      <c r="B16" s="11" t="n">
        <v>10</v>
      </c>
      <c r="C16" s="12" t="s">
        <v>48</v>
      </c>
      <c r="D16" s="12" t="s">
        <v>21</v>
      </c>
      <c r="E16" s="12" t="s">
        <v>49</v>
      </c>
      <c r="F16" s="13" t="s">
        <v>50</v>
      </c>
      <c r="G16" s="14"/>
      <c r="H16" s="8"/>
      <c r="I16" s="8"/>
      <c r="J16" s="8"/>
      <c r="K16" s="8"/>
      <c r="L16" s="9"/>
      <c r="M16" s="8"/>
      <c r="N16" s="8"/>
      <c r="O16" s="8"/>
      <c r="P16" s="8"/>
      <c r="Q16" s="11" t="str">
        <f aca="false">IF(L16="","",IF(L16&lt;=Preço!$C$7,Preço!$B$7,IF(L16&lt;=Preço!$C$8,Preço!$B$8,IF(L16&lt;=Preço!$C$9,Preço!$B$9,Preço!$B$10))))</f>
        <v/>
      </c>
      <c r="R16" s="15" t="str">
        <f aca="false">IF(L16="","",Preço!$D$7+MAX(0,MIN(L16,Preço!$C$8)-Preço!$C$7)*Preço!$D$8+MAX(0,MIN(L16,Preço!$C$9)-Preço!$C$8)*Preço!$D$9+MAX(0,L16-Preço!$C$9)*Preço!$D$10)</f>
        <v/>
      </c>
      <c r="S16" s="8"/>
    </row>
    <row r="17" customFormat="false" ht="15" hidden="false" customHeight="false" outlineLevel="0" collapsed="false">
      <c r="B17" s="4" t="n">
        <v>11</v>
      </c>
      <c r="C17" s="5" t="s">
        <v>51</v>
      </c>
      <c r="D17" s="5" t="s">
        <v>21</v>
      </c>
      <c r="E17" s="5" t="s">
        <v>52</v>
      </c>
      <c r="F17" s="6" t="s">
        <v>53</v>
      </c>
      <c r="G17" s="7"/>
      <c r="H17" s="8"/>
      <c r="I17" s="8"/>
      <c r="J17" s="8"/>
      <c r="K17" s="8"/>
      <c r="L17" s="9"/>
      <c r="M17" s="8"/>
      <c r="N17" s="8"/>
      <c r="O17" s="8"/>
      <c r="P17" s="8"/>
      <c r="Q17" s="4" t="str">
        <f aca="false">IF(L17="","",IF(L17&lt;=Preço!$C$7,Preço!$B$7,IF(L17&lt;=Preço!$C$8,Preço!$B$8,IF(L17&lt;=Preço!$C$9,Preço!$B$9,Preço!$B$10))))</f>
        <v/>
      </c>
      <c r="R17" s="10" t="str">
        <f aca="false">IF(L17="","",Preço!$D$7+MAX(0,MIN(L17,Preço!$C$8)-Preço!$C$7)*Preço!$D$8+MAX(0,MIN(L17,Preço!$C$9)-Preço!$C$8)*Preço!$D$9+MAX(0,L17-Preço!$C$9)*Preço!$D$10)</f>
        <v/>
      </c>
      <c r="S17" s="8"/>
    </row>
    <row r="18" customFormat="false" ht="15" hidden="false" customHeight="false" outlineLevel="0" collapsed="false">
      <c r="B18" s="11" t="n">
        <v>12</v>
      </c>
      <c r="C18" s="12" t="s">
        <v>54</v>
      </c>
      <c r="D18" s="12" t="s">
        <v>21</v>
      </c>
      <c r="E18" s="12" t="s">
        <v>55</v>
      </c>
      <c r="F18" s="13" t="s">
        <v>56</v>
      </c>
      <c r="G18" s="14"/>
      <c r="H18" s="8"/>
      <c r="I18" s="8"/>
      <c r="J18" s="8"/>
      <c r="K18" s="8"/>
      <c r="L18" s="9"/>
      <c r="M18" s="8"/>
      <c r="N18" s="8"/>
      <c r="O18" s="8"/>
      <c r="P18" s="8"/>
      <c r="Q18" s="11" t="str">
        <f aca="false">IF(L18="","",IF(L18&lt;=Preço!$C$7,Preço!$B$7,IF(L18&lt;=Preço!$C$8,Preço!$B$8,IF(L18&lt;=Preço!$C$9,Preço!$B$9,Preço!$B$10))))</f>
        <v/>
      </c>
      <c r="R18" s="15" t="str">
        <f aca="false">IF(L18="","",Preço!$D$7+MAX(0,MIN(L18,Preço!$C$8)-Preço!$C$7)*Preço!$D$8+MAX(0,MIN(L18,Preço!$C$9)-Preço!$C$8)*Preço!$D$9+MAX(0,L18-Preço!$C$9)*Preço!$D$10)</f>
        <v/>
      </c>
      <c r="S18" s="8"/>
    </row>
    <row r="19" customFormat="false" ht="15" hidden="false" customHeight="false" outlineLevel="0" collapsed="false">
      <c r="B19" s="4" t="n">
        <v>13</v>
      </c>
      <c r="C19" s="5" t="s">
        <v>57</v>
      </c>
      <c r="D19" s="5" t="s">
        <v>21</v>
      </c>
      <c r="E19" s="5" t="s">
        <v>58</v>
      </c>
      <c r="F19" s="6" t="s">
        <v>59</v>
      </c>
      <c r="G19" s="7"/>
      <c r="H19" s="8"/>
      <c r="I19" s="8"/>
      <c r="J19" s="8"/>
      <c r="K19" s="8"/>
      <c r="L19" s="9"/>
      <c r="M19" s="8"/>
      <c r="N19" s="8"/>
      <c r="O19" s="8"/>
      <c r="P19" s="8"/>
      <c r="Q19" s="4" t="str">
        <f aca="false">IF(L19="","",IF(L19&lt;=Preço!$C$7,Preço!$B$7,IF(L19&lt;=Preço!$C$8,Preço!$B$8,IF(L19&lt;=Preço!$C$9,Preço!$B$9,Preço!$B$10))))</f>
        <v/>
      </c>
      <c r="R19" s="10" t="str">
        <f aca="false">IF(L19="","",Preço!$D$7+MAX(0,MIN(L19,Preço!$C$8)-Preço!$C$7)*Preço!$D$8+MAX(0,MIN(L19,Preço!$C$9)-Preço!$C$8)*Preço!$D$9+MAX(0,L19-Preço!$C$9)*Preço!$D$10)</f>
        <v/>
      </c>
      <c r="S19" s="8"/>
    </row>
    <row r="20" customFormat="false" ht="15" hidden="false" customHeight="false" outlineLevel="0" collapsed="false">
      <c r="B20" s="11" t="n">
        <v>14</v>
      </c>
      <c r="C20" s="12" t="s">
        <v>60</v>
      </c>
      <c r="D20" s="12" t="s">
        <v>21</v>
      </c>
      <c r="E20" s="12" t="s">
        <v>61</v>
      </c>
      <c r="F20" s="13" t="s">
        <v>62</v>
      </c>
      <c r="G20" s="14"/>
      <c r="H20" s="8"/>
      <c r="I20" s="8"/>
      <c r="J20" s="8"/>
      <c r="K20" s="8"/>
      <c r="L20" s="9"/>
      <c r="M20" s="8"/>
      <c r="N20" s="8"/>
      <c r="O20" s="8"/>
      <c r="P20" s="8"/>
      <c r="Q20" s="11" t="str">
        <f aca="false">IF(L20="","",IF(L20&lt;=Preço!$C$7,Preço!$B$7,IF(L20&lt;=Preço!$C$8,Preço!$B$8,IF(L20&lt;=Preço!$C$9,Preço!$B$9,Preço!$B$10))))</f>
        <v/>
      </c>
      <c r="R20" s="15" t="str">
        <f aca="false">IF(L20="","",Preço!$D$7+MAX(0,MIN(L20,Preço!$C$8)-Preço!$C$7)*Preço!$D$8+MAX(0,MIN(L20,Preço!$C$9)-Preço!$C$8)*Preço!$D$9+MAX(0,L20-Preço!$C$9)*Preço!$D$10)</f>
        <v/>
      </c>
      <c r="S20" s="8"/>
    </row>
    <row r="21" customFormat="false" ht="15" hidden="false" customHeight="false" outlineLevel="0" collapsed="false">
      <c r="B21" s="4" t="n">
        <v>15</v>
      </c>
      <c r="C21" s="5" t="s">
        <v>63</v>
      </c>
      <c r="D21" s="5" t="s">
        <v>21</v>
      </c>
      <c r="E21" s="5" t="s">
        <v>64</v>
      </c>
      <c r="F21" s="6" t="s">
        <v>65</v>
      </c>
      <c r="G21" s="7"/>
      <c r="H21" s="8"/>
      <c r="I21" s="8"/>
      <c r="J21" s="8"/>
      <c r="K21" s="8"/>
      <c r="L21" s="9"/>
      <c r="M21" s="8"/>
      <c r="N21" s="8"/>
      <c r="O21" s="8"/>
      <c r="P21" s="8"/>
      <c r="Q21" s="4" t="str">
        <f aca="false">IF(L21="","",IF(L21&lt;=Preço!$C$7,Preço!$B$7,IF(L21&lt;=Preço!$C$8,Preço!$B$8,IF(L21&lt;=Preço!$C$9,Preço!$B$9,Preço!$B$10))))</f>
        <v/>
      </c>
      <c r="R21" s="10" t="str">
        <f aca="false">IF(L21="","",Preço!$D$7+MAX(0,MIN(L21,Preço!$C$8)-Preço!$C$7)*Preço!$D$8+MAX(0,MIN(L21,Preço!$C$9)-Preço!$C$8)*Preço!$D$9+MAX(0,L21-Preço!$C$9)*Preço!$D$10)</f>
        <v/>
      </c>
      <c r="S21" s="8"/>
    </row>
    <row r="22" customFormat="false" ht="15" hidden="false" customHeight="false" outlineLevel="0" collapsed="false">
      <c r="B22" s="11" t="n">
        <v>16</v>
      </c>
      <c r="C22" s="12" t="s">
        <v>66</v>
      </c>
      <c r="D22" s="12" t="s">
        <v>21</v>
      </c>
      <c r="E22" s="12" t="s">
        <v>67</v>
      </c>
      <c r="F22" s="13" t="s">
        <v>68</v>
      </c>
      <c r="G22" s="14"/>
      <c r="H22" s="8"/>
      <c r="I22" s="8"/>
      <c r="J22" s="8"/>
      <c r="K22" s="8"/>
      <c r="L22" s="9"/>
      <c r="M22" s="8"/>
      <c r="N22" s="8"/>
      <c r="O22" s="8"/>
      <c r="P22" s="8"/>
      <c r="Q22" s="11" t="str">
        <f aca="false">IF(L22="","",IF(L22&lt;=Preço!$C$7,Preço!$B$7,IF(L22&lt;=Preço!$C$8,Preço!$B$8,IF(L22&lt;=Preço!$C$9,Preço!$B$9,Preço!$B$10))))</f>
        <v/>
      </c>
      <c r="R22" s="15" t="str">
        <f aca="false">IF(L22="","",Preço!$D$7+MAX(0,MIN(L22,Preço!$C$8)-Preço!$C$7)*Preço!$D$8+MAX(0,MIN(L22,Preço!$C$9)-Preço!$C$8)*Preço!$D$9+MAX(0,L22-Preço!$C$9)*Preço!$D$10)</f>
        <v/>
      </c>
      <c r="S22" s="8"/>
    </row>
    <row r="23" customFormat="false" ht="15" hidden="false" customHeight="false" outlineLevel="0" collapsed="false">
      <c r="B23" s="4" t="n">
        <v>17</v>
      </c>
      <c r="C23" s="5" t="s">
        <v>69</v>
      </c>
      <c r="D23" s="5" t="s">
        <v>21</v>
      </c>
      <c r="E23" s="5" t="s">
        <v>70</v>
      </c>
      <c r="F23" s="6" t="s">
        <v>71</v>
      </c>
      <c r="G23" s="7"/>
      <c r="H23" s="8"/>
      <c r="I23" s="8"/>
      <c r="J23" s="8"/>
      <c r="K23" s="8"/>
      <c r="L23" s="9"/>
      <c r="M23" s="8"/>
      <c r="N23" s="8"/>
      <c r="O23" s="8"/>
      <c r="P23" s="8"/>
      <c r="Q23" s="4" t="str">
        <f aca="false">IF(L23="","",IF(L23&lt;=Preço!$C$7,Preço!$B$7,IF(L23&lt;=Preço!$C$8,Preço!$B$8,IF(L23&lt;=Preço!$C$9,Preço!$B$9,Preço!$B$10))))</f>
        <v/>
      </c>
      <c r="R23" s="10" t="str">
        <f aca="false">IF(L23="","",Preço!$D$7+MAX(0,MIN(L23,Preço!$C$8)-Preço!$C$7)*Preço!$D$8+MAX(0,MIN(L23,Preço!$C$9)-Preço!$C$8)*Preço!$D$9+MAX(0,L23-Preço!$C$9)*Preço!$D$10)</f>
        <v/>
      </c>
      <c r="S23" s="8"/>
    </row>
    <row r="24" customFormat="false" ht="15" hidden="false" customHeight="false" outlineLevel="0" collapsed="false">
      <c r="B24" s="11" t="n">
        <v>18</v>
      </c>
      <c r="C24" s="12" t="s">
        <v>72</v>
      </c>
      <c r="D24" s="12" t="s">
        <v>21</v>
      </c>
      <c r="E24" s="12" t="s">
        <v>73</v>
      </c>
      <c r="F24" s="13" t="s">
        <v>74</v>
      </c>
      <c r="G24" s="14"/>
      <c r="H24" s="8"/>
      <c r="I24" s="8"/>
      <c r="J24" s="8"/>
      <c r="K24" s="8"/>
      <c r="L24" s="9"/>
      <c r="M24" s="8"/>
      <c r="N24" s="8"/>
      <c r="O24" s="8"/>
      <c r="P24" s="8"/>
      <c r="Q24" s="11" t="str">
        <f aca="false">IF(L24="","",IF(L24&lt;=Preço!$C$7,Preço!$B$7,IF(L24&lt;=Preço!$C$8,Preço!$B$8,IF(L24&lt;=Preço!$C$9,Preço!$B$9,Preço!$B$10))))</f>
        <v/>
      </c>
      <c r="R24" s="15" t="str">
        <f aca="false">IF(L24="","",Preço!$D$7+MAX(0,MIN(L24,Preço!$C$8)-Preço!$C$7)*Preço!$D$8+MAX(0,MIN(L24,Preço!$C$9)-Preço!$C$8)*Preço!$D$9+MAX(0,L24-Preço!$C$9)*Preço!$D$10)</f>
        <v/>
      </c>
      <c r="S24" s="8"/>
    </row>
    <row r="25" customFormat="false" ht="15" hidden="false" customHeight="false" outlineLevel="0" collapsed="false">
      <c r="B25" s="4" t="n">
        <v>19</v>
      </c>
      <c r="C25" s="5" t="s">
        <v>75</v>
      </c>
      <c r="D25" s="5" t="s">
        <v>21</v>
      </c>
      <c r="E25" s="5" t="s">
        <v>76</v>
      </c>
      <c r="F25" s="6" t="s">
        <v>77</v>
      </c>
      <c r="G25" s="7"/>
      <c r="H25" s="8"/>
      <c r="I25" s="8"/>
      <c r="J25" s="8"/>
      <c r="K25" s="8"/>
      <c r="L25" s="9"/>
      <c r="M25" s="8"/>
      <c r="N25" s="8"/>
      <c r="O25" s="8"/>
      <c r="P25" s="8"/>
      <c r="Q25" s="4" t="str">
        <f aca="false">IF(L25="","",IF(L25&lt;=Preço!$C$7,Preço!$B$7,IF(L25&lt;=Preço!$C$8,Preço!$B$8,IF(L25&lt;=Preço!$C$9,Preço!$B$9,Preço!$B$10))))</f>
        <v/>
      </c>
      <c r="R25" s="10" t="str">
        <f aca="false">IF(L25="","",Preço!$D$7+MAX(0,MIN(L25,Preço!$C$8)-Preço!$C$7)*Preço!$D$8+MAX(0,MIN(L25,Preço!$C$9)-Preço!$C$8)*Preço!$D$9+MAX(0,L25-Preço!$C$9)*Preço!$D$10)</f>
        <v/>
      </c>
      <c r="S25" s="8"/>
    </row>
    <row r="26" customFormat="false" ht="15" hidden="false" customHeight="false" outlineLevel="0" collapsed="false">
      <c r="B26" s="11" t="n">
        <v>20</v>
      </c>
      <c r="C26" s="12" t="s">
        <v>78</v>
      </c>
      <c r="D26" s="12" t="s">
        <v>21</v>
      </c>
      <c r="E26" s="12" t="s">
        <v>79</v>
      </c>
      <c r="F26" s="13" t="s">
        <v>80</v>
      </c>
      <c r="G26" s="14"/>
      <c r="H26" s="8"/>
      <c r="I26" s="8"/>
      <c r="J26" s="8"/>
      <c r="K26" s="8"/>
      <c r="L26" s="9"/>
      <c r="M26" s="8"/>
      <c r="N26" s="8"/>
      <c r="O26" s="8"/>
      <c r="P26" s="8"/>
      <c r="Q26" s="11" t="str">
        <f aca="false">IF(L26="","",IF(L26&lt;=Preço!$C$7,Preço!$B$7,IF(L26&lt;=Preço!$C$8,Preço!$B$8,IF(L26&lt;=Preço!$C$9,Preço!$B$9,Preço!$B$10))))</f>
        <v/>
      </c>
      <c r="R26" s="15" t="str">
        <f aca="false">IF(L26="","",Preço!$D$7+MAX(0,MIN(L26,Preço!$C$8)-Preço!$C$7)*Preço!$D$8+MAX(0,MIN(L26,Preço!$C$9)-Preço!$C$8)*Preço!$D$9+MAX(0,L26-Preço!$C$9)*Preço!$D$10)</f>
        <v/>
      </c>
      <c r="S26" s="8"/>
    </row>
    <row r="27" customFormat="false" ht="15" hidden="false" customHeight="false" outlineLevel="0" collapsed="false">
      <c r="B27" s="4" t="n">
        <v>21</v>
      </c>
      <c r="C27" s="5" t="s">
        <v>81</v>
      </c>
      <c r="D27" s="5" t="s">
        <v>21</v>
      </c>
      <c r="E27" s="5" t="s">
        <v>82</v>
      </c>
      <c r="F27" s="6" t="s">
        <v>83</v>
      </c>
      <c r="G27" s="7"/>
      <c r="H27" s="8"/>
      <c r="I27" s="8"/>
      <c r="J27" s="8"/>
      <c r="K27" s="8"/>
      <c r="L27" s="9"/>
      <c r="M27" s="8"/>
      <c r="N27" s="8"/>
      <c r="O27" s="8"/>
      <c r="P27" s="8"/>
      <c r="Q27" s="4" t="str">
        <f aca="false">IF(L27="","",IF(L27&lt;=Preço!$C$7,Preço!$B$7,IF(L27&lt;=Preço!$C$8,Preço!$B$8,IF(L27&lt;=Preço!$C$9,Preço!$B$9,Preço!$B$10))))</f>
        <v/>
      </c>
      <c r="R27" s="10" t="str">
        <f aca="false">IF(L27="","",Preço!$D$7+MAX(0,MIN(L27,Preço!$C$8)-Preço!$C$7)*Preço!$D$8+MAX(0,MIN(L27,Preço!$C$9)-Preço!$C$8)*Preço!$D$9+MAX(0,L27-Preço!$C$9)*Preço!$D$10)</f>
        <v/>
      </c>
      <c r="S27" s="8"/>
    </row>
    <row r="28" customFormat="false" ht="15" hidden="false" customHeight="false" outlineLevel="0" collapsed="false">
      <c r="B28" s="11" t="n">
        <v>22</v>
      </c>
      <c r="C28" s="12" t="s">
        <v>84</v>
      </c>
      <c r="D28" s="12" t="s">
        <v>21</v>
      </c>
      <c r="E28" s="12" t="s">
        <v>85</v>
      </c>
      <c r="F28" s="13" t="s">
        <v>86</v>
      </c>
      <c r="G28" s="14"/>
      <c r="H28" s="8"/>
      <c r="I28" s="8"/>
      <c r="J28" s="8"/>
      <c r="K28" s="8"/>
      <c r="L28" s="9"/>
      <c r="M28" s="8"/>
      <c r="N28" s="8"/>
      <c r="O28" s="8"/>
      <c r="P28" s="8"/>
      <c r="Q28" s="11" t="str">
        <f aca="false">IF(L28="","",IF(L28&lt;=Preço!$C$7,Preço!$B$7,IF(L28&lt;=Preço!$C$8,Preço!$B$8,IF(L28&lt;=Preço!$C$9,Preço!$B$9,Preço!$B$10))))</f>
        <v/>
      </c>
      <c r="R28" s="15" t="str">
        <f aca="false">IF(L28="","",Preço!$D$7+MAX(0,MIN(L28,Preço!$C$8)-Preço!$C$7)*Preço!$D$8+MAX(0,MIN(L28,Preço!$C$9)-Preço!$C$8)*Preço!$D$9+MAX(0,L28-Preço!$C$9)*Preço!$D$10)</f>
        <v/>
      </c>
      <c r="S28" s="8"/>
    </row>
    <row r="29" customFormat="false" ht="15" hidden="false" customHeight="false" outlineLevel="0" collapsed="false">
      <c r="B29" s="4" t="n">
        <v>23</v>
      </c>
      <c r="C29" s="5" t="s">
        <v>87</v>
      </c>
      <c r="D29" s="5" t="s">
        <v>21</v>
      </c>
      <c r="E29" s="5" t="s">
        <v>88</v>
      </c>
      <c r="F29" s="6" t="s">
        <v>89</v>
      </c>
      <c r="G29" s="7"/>
      <c r="H29" s="8"/>
      <c r="I29" s="8"/>
      <c r="J29" s="8"/>
      <c r="K29" s="8"/>
      <c r="L29" s="9"/>
      <c r="M29" s="8"/>
      <c r="N29" s="8"/>
      <c r="O29" s="8"/>
      <c r="P29" s="8"/>
      <c r="Q29" s="4" t="str">
        <f aca="false">IF(L29="","",IF(L29&lt;=Preço!$C$7,Preço!$B$7,IF(L29&lt;=Preço!$C$8,Preço!$B$8,IF(L29&lt;=Preço!$C$9,Preço!$B$9,Preço!$B$10))))</f>
        <v/>
      </c>
      <c r="R29" s="10" t="str">
        <f aca="false">IF(L29="","",Preço!$D$7+MAX(0,MIN(L29,Preço!$C$8)-Preço!$C$7)*Preço!$D$8+MAX(0,MIN(L29,Preço!$C$9)-Preço!$C$8)*Preço!$D$9+MAX(0,L29-Preço!$C$9)*Preço!$D$10)</f>
        <v/>
      </c>
      <c r="S29" s="8"/>
    </row>
    <row r="30" customFormat="false" ht="15" hidden="false" customHeight="false" outlineLevel="0" collapsed="false">
      <c r="B30" s="11" t="n">
        <v>24</v>
      </c>
      <c r="C30" s="12" t="s">
        <v>90</v>
      </c>
      <c r="D30" s="12" t="s">
        <v>21</v>
      </c>
      <c r="E30" s="12" t="s">
        <v>91</v>
      </c>
      <c r="F30" s="13" t="s">
        <v>92</v>
      </c>
      <c r="G30" s="14"/>
      <c r="H30" s="8"/>
      <c r="I30" s="8"/>
      <c r="J30" s="8"/>
      <c r="K30" s="8"/>
      <c r="L30" s="9"/>
      <c r="M30" s="8"/>
      <c r="N30" s="8"/>
      <c r="O30" s="8"/>
      <c r="P30" s="8"/>
      <c r="Q30" s="11" t="str">
        <f aca="false">IF(L30="","",IF(L30&lt;=Preço!$C$7,Preço!$B$7,IF(L30&lt;=Preço!$C$8,Preço!$B$8,IF(L30&lt;=Preço!$C$9,Preço!$B$9,Preço!$B$10))))</f>
        <v/>
      </c>
      <c r="R30" s="15" t="str">
        <f aca="false">IF(L30="","",Preço!$D$7+MAX(0,MIN(L30,Preço!$C$8)-Preço!$C$7)*Preço!$D$8+MAX(0,MIN(L30,Preço!$C$9)-Preço!$C$8)*Preço!$D$9+MAX(0,L30-Preço!$C$9)*Preço!$D$10)</f>
        <v/>
      </c>
      <c r="S30" s="8"/>
    </row>
    <row r="31" customFormat="false" ht="15" hidden="false" customHeight="false" outlineLevel="0" collapsed="false">
      <c r="B31" s="4" t="n">
        <v>25</v>
      </c>
      <c r="C31" s="5" t="s">
        <v>93</v>
      </c>
      <c r="D31" s="5" t="s">
        <v>21</v>
      </c>
      <c r="E31" s="5" t="s">
        <v>94</v>
      </c>
      <c r="F31" s="6" t="s">
        <v>95</v>
      </c>
      <c r="G31" s="7"/>
      <c r="H31" s="8"/>
      <c r="I31" s="8"/>
      <c r="J31" s="8"/>
      <c r="K31" s="8"/>
      <c r="L31" s="9"/>
      <c r="M31" s="8"/>
      <c r="N31" s="8"/>
      <c r="O31" s="8"/>
      <c r="P31" s="8"/>
      <c r="Q31" s="4" t="str">
        <f aca="false">IF(L31="","",IF(L31&lt;=Preço!$C$7,Preço!$B$7,IF(L31&lt;=Preço!$C$8,Preço!$B$8,IF(L31&lt;=Preço!$C$9,Preço!$B$9,Preço!$B$10))))</f>
        <v/>
      </c>
      <c r="R31" s="10" t="str">
        <f aca="false">IF(L31="","",Preço!$D$7+MAX(0,MIN(L31,Preço!$C$8)-Preço!$C$7)*Preço!$D$8+MAX(0,MIN(L31,Preço!$C$9)-Preço!$C$8)*Preço!$D$9+MAX(0,L31-Preço!$C$9)*Preço!$D$10)</f>
        <v/>
      </c>
      <c r="S31" s="8"/>
    </row>
    <row r="32" customFormat="false" ht="15" hidden="false" customHeight="false" outlineLevel="0" collapsed="false">
      <c r="B32" s="11" t="n">
        <v>26</v>
      </c>
      <c r="C32" s="12" t="s">
        <v>96</v>
      </c>
      <c r="D32" s="12" t="s">
        <v>97</v>
      </c>
      <c r="E32" s="12" t="s">
        <v>98</v>
      </c>
      <c r="F32" s="13" t="s">
        <v>99</v>
      </c>
      <c r="G32" s="14"/>
      <c r="H32" s="8"/>
      <c r="I32" s="8"/>
      <c r="J32" s="8"/>
      <c r="K32" s="8"/>
      <c r="L32" s="9"/>
      <c r="M32" s="8"/>
      <c r="N32" s="8"/>
      <c r="O32" s="8"/>
      <c r="P32" s="8"/>
      <c r="Q32" s="11" t="str">
        <f aca="false">IF(L32="","",IF(L32&lt;=Preço!$C$7,Preço!$B$7,IF(L32&lt;=Preço!$C$8,Preço!$B$8,IF(L32&lt;=Preço!$C$9,Preço!$B$9,Preço!$B$10))))</f>
        <v/>
      </c>
      <c r="R32" s="15" t="str">
        <f aca="false">IF(L32="","",Preço!$D$7+MAX(0,MIN(L32,Preço!$C$8)-Preço!$C$7)*Preço!$D$8+MAX(0,MIN(L32,Preço!$C$9)-Preço!$C$8)*Preço!$D$9+MAX(0,L32-Preço!$C$9)*Preço!$D$10)</f>
        <v/>
      </c>
      <c r="S32" s="8"/>
    </row>
    <row r="33" customFormat="false" ht="15" hidden="false" customHeight="false" outlineLevel="0" collapsed="false">
      <c r="B33" s="4" t="n">
        <v>27</v>
      </c>
      <c r="C33" s="5" t="s">
        <v>100</v>
      </c>
      <c r="D33" s="5" t="s">
        <v>97</v>
      </c>
      <c r="E33" s="5" t="s">
        <v>101</v>
      </c>
      <c r="F33" s="6" t="s">
        <v>102</v>
      </c>
      <c r="G33" s="7"/>
      <c r="H33" s="8"/>
      <c r="I33" s="8"/>
      <c r="J33" s="8"/>
      <c r="K33" s="8"/>
      <c r="L33" s="9"/>
      <c r="M33" s="8"/>
      <c r="N33" s="8"/>
      <c r="O33" s="8"/>
      <c r="P33" s="8"/>
      <c r="Q33" s="4" t="str">
        <f aca="false">IF(L33="","",IF(L33&lt;=Preço!$C$7,Preço!$B$7,IF(L33&lt;=Preço!$C$8,Preço!$B$8,IF(L33&lt;=Preço!$C$9,Preço!$B$9,Preço!$B$10))))</f>
        <v/>
      </c>
      <c r="R33" s="10" t="str">
        <f aca="false">IF(L33="","",Preço!$D$7+MAX(0,MIN(L33,Preço!$C$8)-Preço!$C$7)*Preço!$D$8+MAX(0,MIN(L33,Preço!$C$9)-Preço!$C$8)*Preço!$D$9+MAX(0,L33-Preço!$C$9)*Preço!$D$10)</f>
        <v/>
      </c>
      <c r="S33" s="8"/>
    </row>
    <row r="34" customFormat="false" ht="15" hidden="false" customHeight="false" outlineLevel="0" collapsed="false">
      <c r="B34" s="11" t="n">
        <v>28</v>
      </c>
      <c r="C34" s="12" t="s">
        <v>103</v>
      </c>
      <c r="D34" s="12" t="s">
        <v>104</v>
      </c>
      <c r="E34" s="12" t="s">
        <v>105</v>
      </c>
      <c r="F34" s="13" t="s">
        <v>106</v>
      </c>
      <c r="G34" s="14"/>
      <c r="H34" s="8"/>
      <c r="I34" s="8"/>
      <c r="J34" s="8"/>
      <c r="K34" s="8"/>
      <c r="L34" s="9"/>
      <c r="M34" s="8"/>
      <c r="N34" s="8"/>
      <c r="O34" s="8"/>
      <c r="P34" s="8"/>
      <c r="Q34" s="11" t="str">
        <f aca="false">IF(L34="","",IF(L34&lt;=Preço!$C$7,Preço!$B$7,IF(L34&lt;=Preço!$C$8,Preço!$B$8,IF(L34&lt;=Preço!$C$9,Preço!$B$9,Preço!$B$10))))</f>
        <v/>
      </c>
      <c r="R34" s="15" t="str">
        <f aca="false">IF(L34="","",Preço!$D$7+MAX(0,MIN(L34,Preço!$C$8)-Preço!$C$7)*Preço!$D$8+MAX(0,MIN(L34,Preço!$C$9)-Preço!$C$8)*Preço!$D$9+MAX(0,L34-Preço!$C$9)*Preço!$D$10)</f>
        <v/>
      </c>
      <c r="S34" s="8"/>
    </row>
    <row r="35" customFormat="false" ht="15" hidden="false" customHeight="false" outlineLevel="0" collapsed="false">
      <c r="B35" s="4" t="n">
        <v>29</v>
      </c>
      <c r="C35" s="5" t="s">
        <v>107</v>
      </c>
      <c r="D35" s="5" t="s">
        <v>108</v>
      </c>
      <c r="E35" s="5" t="s">
        <v>109</v>
      </c>
      <c r="F35" s="6" t="s">
        <v>110</v>
      </c>
      <c r="G35" s="7"/>
      <c r="H35" s="8"/>
      <c r="I35" s="8"/>
      <c r="J35" s="8"/>
      <c r="K35" s="8"/>
      <c r="L35" s="9"/>
      <c r="M35" s="8"/>
      <c r="N35" s="8"/>
      <c r="O35" s="8"/>
      <c r="P35" s="8"/>
      <c r="Q35" s="4" t="str">
        <f aca="false">IF(L35="","",IF(L35&lt;=Preço!$C$7,Preço!$B$7,IF(L35&lt;=Preço!$C$8,Preço!$B$8,IF(L35&lt;=Preço!$C$9,Preço!$B$9,Preço!$B$10))))</f>
        <v/>
      </c>
      <c r="R35" s="10" t="str">
        <f aca="false">IF(L35="","",Preço!$D$7+MAX(0,MIN(L35,Preço!$C$8)-Preço!$C$7)*Preço!$D$8+MAX(0,MIN(L35,Preço!$C$9)-Preço!$C$8)*Preço!$D$9+MAX(0,L35-Preço!$C$9)*Preço!$D$10)</f>
        <v/>
      </c>
      <c r="S35" s="8"/>
    </row>
    <row r="36" customFormat="false" ht="15" hidden="false" customHeight="false" outlineLevel="0" collapsed="false">
      <c r="B36" s="11" t="n">
        <v>30</v>
      </c>
      <c r="C36" s="12" t="s">
        <v>111</v>
      </c>
      <c r="D36" s="12" t="s">
        <v>112</v>
      </c>
      <c r="E36" s="12" t="s">
        <v>113</v>
      </c>
      <c r="F36" s="13" t="s">
        <v>114</v>
      </c>
      <c r="G36" s="14"/>
      <c r="H36" s="8"/>
      <c r="I36" s="8"/>
      <c r="J36" s="8"/>
      <c r="K36" s="8"/>
      <c r="L36" s="9"/>
      <c r="M36" s="8"/>
      <c r="N36" s="8"/>
      <c r="O36" s="8"/>
      <c r="P36" s="8"/>
      <c r="Q36" s="11" t="str">
        <f aca="false">IF(L36="","",IF(L36&lt;=Preço!$C$7,Preço!$B$7,IF(L36&lt;=Preço!$C$8,Preço!$B$8,IF(L36&lt;=Preço!$C$9,Preço!$B$9,Preço!$B$10))))</f>
        <v/>
      </c>
      <c r="R36" s="15" t="str">
        <f aca="false">IF(L36="","",Preço!$D$7+MAX(0,MIN(L36,Preço!$C$8)-Preço!$C$7)*Preço!$D$8+MAX(0,MIN(L36,Preço!$C$9)-Preço!$C$8)*Preço!$D$9+MAX(0,L36-Preço!$C$9)*Preço!$D$10)</f>
        <v/>
      </c>
      <c r="S36" s="8"/>
    </row>
    <row r="37" customFormat="false" ht="15" hidden="false" customHeight="false" outlineLevel="0" collapsed="false">
      <c r="B37" s="4" t="n">
        <v>31</v>
      </c>
      <c r="C37" s="5" t="s">
        <v>115</v>
      </c>
      <c r="D37" s="5" t="s">
        <v>116</v>
      </c>
      <c r="E37" s="5" t="s">
        <v>117</v>
      </c>
      <c r="F37" s="6" t="s">
        <v>118</v>
      </c>
      <c r="G37" s="7"/>
      <c r="H37" s="8"/>
      <c r="I37" s="8"/>
      <c r="J37" s="8"/>
      <c r="K37" s="8"/>
      <c r="L37" s="9"/>
      <c r="M37" s="8"/>
      <c r="N37" s="8"/>
      <c r="O37" s="8"/>
      <c r="P37" s="8"/>
      <c r="Q37" s="4" t="str">
        <f aca="false">IF(L37="","",IF(L37&lt;=Preço!$C$7,Preço!$B$7,IF(L37&lt;=Preço!$C$8,Preço!$B$8,IF(L37&lt;=Preço!$C$9,Preço!$B$9,Preço!$B$10))))</f>
        <v/>
      </c>
      <c r="R37" s="10" t="str">
        <f aca="false">IF(L37="","",Preço!$D$7+MAX(0,MIN(L37,Preço!$C$8)-Preço!$C$7)*Preço!$D$8+MAX(0,MIN(L37,Preço!$C$9)-Preço!$C$8)*Preço!$D$9+MAX(0,L37-Preço!$C$9)*Preço!$D$10)</f>
        <v/>
      </c>
      <c r="S37" s="8"/>
    </row>
    <row r="38" customFormat="false" ht="15" hidden="false" customHeight="false" outlineLevel="0" collapsed="false">
      <c r="B38" s="11" t="n">
        <v>32</v>
      </c>
      <c r="C38" s="12" t="s">
        <v>119</v>
      </c>
      <c r="D38" s="12" t="s">
        <v>120</v>
      </c>
      <c r="E38" s="12" t="s">
        <v>121</v>
      </c>
      <c r="F38" s="13" t="s">
        <v>122</v>
      </c>
      <c r="G38" s="14"/>
      <c r="H38" s="8"/>
      <c r="I38" s="8"/>
      <c r="J38" s="8"/>
      <c r="K38" s="8"/>
      <c r="L38" s="9"/>
      <c r="M38" s="8"/>
      <c r="N38" s="8"/>
      <c r="O38" s="8"/>
      <c r="P38" s="8"/>
      <c r="Q38" s="11" t="str">
        <f aca="false">IF(L38="","",IF(L38&lt;=Preço!$C$7,Preço!$B$7,IF(L38&lt;=Preço!$C$8,Preço!$B$8,IF(L38&lt;=Preço!$C$9,Preço!$B$9,Preço!$B$10))))</f>
        <v/>
      </c>
      <c r="R38" s="15" t="str">
        <f aca="false">IF(L38="","",Preço!$D$7+MAX(0,MIN(L38,Preço!$C$8)-Preço!$C$7)*Preço!$D$8+MAX(0,MIN(L38,Preço!$C$9)-Preço!$C$8)*Preço!$D$9+MAX(0,L38-Preço!$C$9)*Preço!$D$10)</f>
        <v/>
      </c>
      <c r="S38" s="8"/>
    </row>
    <row r="39" customFormat="false" ht="15" hidden="false" customHeight="false" outlineLevel="0" collapsed="false">
      <c r="B39" s="4" t="n">
        <v>33</v>
      </c>
      <c r="C39" s="5" t="s">
        <v>123</v>
      </c>
      <c r="D39" s="5" t="s">
        <v>124</v>
      </c>
      <c r="E39" s="5" t="s">
        <v>125</v>
      </c>
      <c r="F39" s="6" t="s">
        <v>126</v>
      </c>
      <c r="G39" s="7"/>
      <c r="H39" s="8"/>
      <c r="I39" s="8"/>
      <c r="J39" s="8"/>
      <c r="K39" s="8"/>
      <c r="L39" s="9"/>
      <c r="M39" s="8"/>
      <c r="N39" s="8"/>
      <c r="O39" s="8"/>
      <c r="P39" s="8"/>
      <c r="Q39" s="4" t="str">
        <f aca="false">IF(L39="","",IF(L39&lt;=Preço!$C$7,Preço!$B$7,IF(L39&lt;=Preço!$C$8,Preço!$B$8,IF(L39&lt;=Preço!$C$9,Preço!$B$9,Preço!$B$10))))</f>
        <v/>
      </c>
      <c r="R39" s="10" t="str">
        <f aca="false">IF(L39="","",Preço!$D$7+MAX(0,MIN(L39,Preço!$C$8)-Preço!$C$7)*Preço!$D$8+MAX(0,MIN(L39,Preço!$C$9)-Preço!$C$8)*Preço!$D$9+MAX(0,L39-Preço!$C$9)*Preço!$D$10)</f>
        <v/>
      </c>
      <c r="S39" s="8"/>
    </row>
    <row r="40" customFormat="false" ht="15" hidden="false" customHeight="false" outlineLevel="0" collapsed="false">
      <c r="B40" s="11" t="n">
        <v>34</v>
      </c>
      <c r="C40" s="12" t="s">
        <v>127</v>
      </c>
      <c r="D40" s="12" t="s">
        <v>124</v>
      </c>
      <c r="E40" s="12" t="s">
        <v>128</v>
      </c>
      <c r="F40" s="13" t="s">
        <v>129</v>
      </c>
      <c r="G40" s="14"/>
      <c r="H40" s="8"/>
      <c r="I40" s="8"/>
      <c r="J40" s="8"/>
      <c r="K40" s="8"/>
      <c r="L40" s="9"/>
      <c r="M40" s="8"/>
      <c r="N40" s="8"/>
      <c r="O40" s="8"/>
      <c r="P40" s="8"/>
      <c r="Q40" s="11" t="str">
        <f aca="false">IF(L40="","",IF(L40&lt;=Preço!$C$7,Preço!$B$7,IF(L40&lt;=Preço!$C$8,Preço!$B$8,IF(L40&lt;=Preço!$C$9,Preço!$B$9,Preço!$B$10))))</f>
        <v/>
      </c>
      <c r="R40" s="15" t="str">
        <f aca="false">IF(L40="","",Preço!$D$7+MAX(0,MIN(L40,Preço!$C$8)-Preço!$C$7)*Preço!$D$8+MAX(0,MIN(L40,Preço!$C$9)-Preço!$C$8)*Preço!$D$9+MAX(0,L40-Preço!$C$9)*Preço!$D$10)</f>
        <v/>
      </c>
      <c r="S40" s="8"/>
    </row>
    <row r="41" customFormat="false" ht="15" hidden="false" customHeight="false" outlineLevel="0" collapsed="false">
      <c r="B41" s="4" t="n">
        <v>35</v>
      </c>
      <c r="C41" s="5" t="s">
        <v>130</v>
      </c>
      <c r="D41" s="5"/>
      <c r="E41" s="5"/>
      <c r="F41" s="6" t="s">
        <v>131</v>
      </c>
      <c r="G41" s="7"/>
      <c r="H41" s="8"/>
      <c r="I41" s="8"/>
      <c r="J41" s="8"/>
      <c r="K41" s="8"/>
      <c r="L41" s="9"/>
      <c r="M41" s="8"/>
      <c r="N41" s="8"/>
      <c r="O41" s="8"/>
      <c r="P41" s="8"/>
      <c r="Q41" s="4" t="str">
        <f aca="false">IF(L41="","",IF(L41&lt;=Preço!$C$7,Preço!$B$7,IF(L41&lt;=Preço!$C$8,Preço!$B$8,IF(L41&lt;=Preço!$C$9,Preço!$B$9,Preço!$B$10))))</f>
        <v/>
      </c>
      <c r="R41" s="10" t="str">
        <f aca="false">IF(L41="","",Preço!$D$7+MAX(0,MIN(L41,Preço!$C$8)-Preço!$C$7)*Preço!$D$8+MAX(0,MIN(L41,Preço!$C$9)-Preço!$C$8)*Preço!$D$9+MAX(0,L41-Preço!$C$9)*Preço!$D$10)</f>
        <v/>
      </c>
      <c r="S41" s="8"/>
    </row>
    <row r="42" customFormat="false" ht="15" hidden="false" customHeight="false" outlineLevel="0" collapsed="false">
      <c r="B42" s="11" t="n">
        <v>36</v>
      </c>
      <c r="C42" s="12" t="s">
        <v>132</v>
      </c>
      <c r="D42" s="12" t="s">
        <v>133</v>
      </c>
      <c r="E42" s="12" t="s">
        <v>134</v>
      </c>
      <c r="F42" s="13" t="s">
        <v>135</v>
      </c>
      <c r="G42" s="14"/>
      <c r="H42" s="8"/>
      <c r="I42" s="8"/>
      <c r="J42" s="8"/>
      <c r="K42" s="8"/>
      <c r="L42" s="9"/>
      <c r="M42" s="8"/>
      <c r="N42" s="8"/>
      <c r="O42" s="8"/>
      <c r="P42" s="8"/>
      <c r="Q42" s="11" t="str">
        <f aca="false">IF(L42="","",IF(L42&lt;=Preço!$C$7,Preço!$B$7,IF(L42&lt;=Preço!$C$8,Preço!$B$8,IF(L42&lt;=Preço!$C$9,Preço!$B$9,Preço!$B$10))))</f>
        <v/>
      </c>
      <c r="R42" s="15" t="str">
        <f aca="false">IF(L42="","",Preço!$D$7+MAX(0,MIN(L42,Preço!$C$8)-Preço!$C$7)*Preço!$D$8+MAX(0,MIN(L42,Preço!$C$9)-Preço!$C$8)*Preço!$D$9+MAX(0,L42-Preço!$C$9)*Preço!$D$10)</f>
        <v/>
      </c>
      <c r="S42" s="8"/>
    </row>
    <row r="43" customFormat="false" ht="22.35" hidden="false" customHeight="false" outlineLevel="0" collapsed="false">
      <c r="B43" s="4" t="n">
        <v>37</v>
      </c>
      <c r="C43" s="5" t="s">
        <v>136</v>
      </c>
      <c r="D43" s="5" t="s">
        <v>21</v>
      </c>
      <c r="E43" s="5" t="s">
        <v>137</v>
      </c>
      <c r="F43" s="6" t="s">
        <v>138</v>
      </c>
      <c r="G43" s="7" t="s">
        <v>139</v>
      </c>
      <c r="H43" s="8"/>
      <c r="I43" s="8"/>
      <c r="J43" s="8"/>
      <c r="K43" s="8"/>
      <c r="L43" s="9"/>
      <c r="M43" s="8"/>
      <c r="N43" s="8"/>
      <c r="O43" s="8"/>
      <c r="P43" s="8"/>
      <c r="Q43" s="4" t="str">
        <f aca="false">IF(L43="","",IF(L43&lt;=Preço!$C$7,Preço!$B$7,IF(L43&lt;=Preço!$C$8,Preço!$B$8,IF(L43&lt;=Preço!$C$9,Preço!$B$9,Preço!$B$10))))</f>
        <v/>
      </c>
      <c r="R43" s="10" t="str">
        <f aca="false">IF(L43="","",Preço!$D$7+MAX(0,MIN(L43,Preço!$C$8)-Preço!$C$7)*Preço!$D$8+MAX(0,MIN(L43,Preço!$C$9)-Preço!$C$8)*Preço!$D$9+MAX(0,L43-Preço!$C$9)*Preço!$D$10)</f>
        <v/>
      </c>
      <c r="S43" s="8"/>
    </row>
    <row r="44" customFormat="false" ht="22.35" hidden="false" customHeight="false" outlineLevel="0" collapsed="false">
      <c r="B44" s="11" t="n">
        <v>38</v>
      </c>
      <c r="C44" s="12" t="s">
        <v>140</v>
      </c>
      <c r="D44" s="12" t="s">
        <v>21</v>
      </c>
      <c r="E44" s="12" t="s">
        <v>141</v>
      </c>
      <c r="F44" s="13" t="s">
        <v>142</v>
      </c>
      <c r="G44" s="14" t="s">
        <v>143</v>
      </c>
      <c r="H44" s="8"/>
      <c r="I44" s="8"/>
      <c r="J44" s="8"/>
      <c r="K44" s="8"/>
      <c r="L44" s="9"/>
      <c r="M44" s="8"/>
      <c r="N44" s="8"/>
      <c r="O44" s="8"/>
      <c r="P44" s="8"/>
      <c r="Q44" s="11" t="str">
        <f aca="false">IF(L44="","",IF(L44&lt;=Preço!$C$7,Preço!$B$7,IF(L44&lt;=Preço!$C$8,Preço!$B$8,IF(L44&lt;=Preço!$C$9,Preço!$B$9,Preço!$B$10))))</f>
        <v/>
      </c>
      <c r="R44" s="15" t="str">
        <f aca="false">IF(L44="","",Preço!$D$7+MAX(0,MIN(L44,Preço!$C$8)-Preço!$C$7)*Preço!$D$8+MAX(0,MIN(L44,Preço!$C$9)-Preço!$C$8)*Preço!$D$9+MAX(0,L44-Preço!$C$9)*Preço!$D$10)</f>
        <v/>
      </c>
      <c r="S44" s="8"/>
    </row>
    <row r="45" customFormat="false" ht="32.8" hidden="false" customHeight="false" outlineLevel="0" collapsed="false">
      <c r="B45" s="4" t="n">
        <v>39</v>
      </c>
      <c r="C45" s="5" t="s">
        <v>144</v>
      </c>
      <c r="D45" s="5" t="s">
        <v>21</v>
      </c>
      <c r="E45" s="5" t="s">
        <v>145</v>
      </c>
      <c r="F45" s="6" t="s">
        <v>146</v>
      </c>
      <c r="G45" s="7" t="s">
        <v>147</v>
      </c>
      <c r="H45" s="8"/>
      <c r="I45" s="8"/>
      <c r="J45" s="8"/>
      <c r="K45" s="8"/>
      <c r="L45" s="9"/>
      <c r="M45" s="8"/>
      <c r="N45" s="8"/>
      <c r="O45" s="8"/>
      <c r="P45" s="8"/>
      <c r="Q45" s="4" t="str">
        <f aca="false">IF(L45="","",IF(L45&lt;=Preço!$C$7,Preço!$B$7,IF(L45&lt;=Preço!$C$8,Preço!$B$8,IF(L45&lt;=Preço!$C$9,Preço!$B$9,Preço!$B$10))))</f>
        <v/>
      </c>
      <c r="R45" s="10" t="str">
        <f aca="false">IF(L45="","",Preço!$D$7+MAX(0,MIN(L45,Preço!$C$8)-Preço!$C$7)*Preço!$D$8+MAX(0,MIN(L45,Preço!$C$9)-Preço!$C$8)*Preço!$D$9+MAX(0,L45-Preço!$C$9)*Preço!$D$10)</f>
        <v/>
      </c>
      <c r="S45" s="8"/>
    </row>
    <row r="46" customFormat="false" ht="22.35" hidden="false" customHeight="false" outlineLevel="0" collapsed="false">
      <c r="B46" s="11" t="n">
        <v>40</v>
      </c>
      <c r="C46" s="12" t="s">
        <v>148</v>
      </c>
      <c r="D46" s="12" t="s">
        <v>21</v>
      </c>
      <c r="E46" s="12" t="s">
        <v>141</v>
      </c>
      <c r="F46" s="13" t="s">
        <v>142</v>
      </c>
      <c r="G46" s="14" t="s">
        <v>149</v>
      </c>
      <c r="H46" s="8"/>
      <c r="I46" s="8"/>
      <c r="J46" s="8"/>
      <c r="K46" s="8"/>
      <c r="L46" s="9"/>
      <c r="M46" s="8"/>
      <c r="N46" s="8"/>
      <c r="O46" s="8"/>
      <c r="P46" s="8"/>
      <c r="Q46" s="11" t="str">
        <f aca="false">IF(L46="","",IF(L46&lt;=Preço!$C$7,Preço!$B$7,IF(L46&lt;=Preço!$C$8,Preço!$B$8,IF(L46&lt;=Preço!$C$9,Preço!$B$9,Preço!$B$10))))</f>
        <v/>
      </c>
      <c r="R46" s="15" t="str">
        <f aca="false">IF(L46="","",Preço!$D$7+MAX(0,MIN(L46,Preço!$C$8)-Preço!$C$7)*Preço!$D$8+MAX(0,MIN(L46,Preço!$C$9)-Preço!$C$8)*Preço!$D$9+MAX(0,L46-Preço!$C$9)*Preço!$D$10)</f>
        <v/>
      </c>
      <c r="S46" s="8"/>
    </row>
    <row r="47" customFormat="false" ht="15" hidden="false" customHeight="false" outlineLevel="0" collapsed="false">
      <c r="B47" s="4" t="n">
        <v>41</v>
      </c>
      <c r="C47" s="5" t="s">
        <v>150</v>
      </c>
      <c r="D47" s="5" t="s">
        <v>21</v>
      </c>
      <c r="E47" s="5" t="s">
        <v>151</v>
      </c>
      <c r="F47" s="6" t="s">
        <v>152</v>
      </c>
      <c r="G47" s="7" t="s">
        <v>153</v>
      </c>
      <c r="H47" s="8"/>
      <c r="I47" s="8"/>
      <c r="J47" s="8"/>
      <c r="K47" s="8"/>
      <c r="L47" s="9"/>
      <c r="M47" s="8"/>
      <c r="N47" s="8"/>
      <c r="O47" s="8"/>
      <c r="P47" s="8"/>
      <c r="Q47" s="4" t="str">
        <f aca="false">IF(L47="","",IF(L47&lt;=Preço!$C$7,Preço!$B$7,IF(L47&lt;=Preço!$C$8,Preço!$B$8,IF(L47&lt;=Preço!$C$9,Preço!$B$9,Preço!$B$10))))</f>
        <v/>
      </c>
      <c r="R47" s="10" t="str">
        <f aca="false">IF(L47="","",Preço!$D$7+MAX(0,MIN(L47,Preço!$C$8)-Preço!$C$7)*Preço!$D$8+MAX(0,MIN(L47,Preço!$C$9)-Preço!$C$8)*Preço!$D$9+MAX(0,L47-Preço!$C$9)*Preço!$D$10)</f>
        <v/>
      </c>
      <c r="S47" s="8"/>
    </row>
    <row r="48" customFormat="false" ht="32.8" hidden="false" customHeight="false" outlineLevel="0" collapsed="false">
      <c r="B48" s="11" t="n">
        <v>42</v>
      </c>
      <c r="C48" s="12" t="s">
        <v>154</v>
      </c>
      <c r="D48" s="12" t="s">
        <v>21</v>
      </c>
      <c r="E48" s="12" t="s">
        <v>155</v>
      </c>
      <c r="F48" s="13" t="s">
        <v>156</v>
      </c>
      <c r="G48" s="14" t="s">
        <v>157</v>
      </c>
      <c r="H48" s="8"/>
      <c r="I48" s="8"/>
      <c r="J48" s="8"/>
      <c r="K48" s="8"/>
      <c r="L48" s="9"/>
      <c r="M48" s="8"/>
      <c r="N48" s="8"/>
      <c r="O48" s="8"/>
      <c r="P48" s="8"/>
      <c r="Q48" s="11" t="str">
        <f aca="false">IF(L48="","",IF(L48&lt;=Preço!$C$7,Preço!$B$7,IF(L48&lt;=Preço!$C$8,Preço!$B$8,IF(L48&lt;=Preço!$C$9,Preço!$B$9,Preço!$B$10))))</f>
        <v/>
      </c>
      <c r="R48" s="15" t="str">
        <f aca="false">IF(L48="","",Preço!$D$7+MAX(0,MIN(L48,Preço!$C$8)-Preço!$C$7)*Preço!$D$8+MAX(0,MIN(L48,Preço!$C$9)-Preço!$C$8)*Preço!$D$9+MAX(0,L48-Preço!$C$9)*Preço!$D$10)</f>
        <v/>
      </c>
      <c r="S48" s="8"/>
    </row>
    <row r="49" customFormat="false" ht="32.8" hidden="false" customHeight="false" outlineLevel="0" collapsed="false">
      <c r="B49" s="4" t="n">
        <v>43</v>
      </c>
      <c r="C49" s="5" t="s">
        <v>158</v>
      </c>
      <c r="D49" s="5" t="s">
        <v>159</v>
      </c>
      <c r="E49" s="5" t="s">
        <v>160</v>
      </c>
      <c r="F49" s="6" t="s">
        <v>156</v>
      </c>
      <c r="G49" s="7" t="s">
        <v>161</v>
      </c>
      <c r="H49" s="8"/>
      <c r="I49" s="8"/>
      <c r="J49" s="8"/>
      <c r="K49" s="8"/>
      <c r="L49" s="9"/>
      <c r="M49" s="8"/>
      <c r="N49" s="8"/>
      <c r="O49" s="8"/>
      <c r="P49" s="8"/>
      <c r="Q49" s="4" t="str">
        <f aca="false">IF(L49="","",IF(L49&lt;=Preço!$C$7,Preço!$B$7,IF(L49&lt;=Preço!$C$8,Preço!$B$8,IF(L49&lt;=Preço!$C$9,Preço!$B$9,Preço!$B$10))))</f>
        <v/>
      </c>
      <c r="R49" s="10" t="str">
        <f aca="false">IF(L49="","",Preço!$D$7+MAX(0,MIN(L49,Preço!$C$8)-Preço!$C$7)*Preço!$D$8+MAX(0,MIN(L49,Preço!$C$9)-Preço!$C$8)*Preço!$D$9+MAX(0,L49-Preço!$C$9)*Preço!$D$10)</f>
        <v/>
      </c>
      <c r="S49" s="8"/>
    </row>
    <row r="50" customFormat="false" ht="22.35" hidden="false" customHeight="false" outlineLevel="0" collapsed="false">
      <c r="B50" s="11" t="n">
        <v>44</v>
      </c>
      <c r="C50" s="12" t="s">
        <v>162</v>
      </c>
      <c r="D50" s="12" t="s">
        <v>97</v>
      </c>
      <c r="E50" s="12" t="s">
        <v>163</v>
      </c>
      <c r="F50" s="13" t="s">
        <v>146</v>
      </c>
      <c r="G50" s="14" t="s">
        <v>164</v>
      </c>
      <c r="H50" s="8"/>
      <c r="I50" s="8"/>
      <c r="J50" s="8"/>
      <c r="K50" s="8"/>
      <c r="L50" s="9"/>
      <c r="M50" s="8"/>
      <c r="N50" s="8"/>
      <c r="O50" s="8"/>
      <c r="P50" s="8"/>
      <c r="Q50" s="11" t="str">
        <f aca="false">IF(L50="","",IF(L50&lt;=Preço!$C$7,Preço!$B$7,IF(L50&lt;=Preço!$C$8,Preço!$B$8,IF(L50&lt;=Preço!$C$9,Preço!$B$9,Preço!$B$10))))</f>
        <v/>
      </c>
      <c r="R50" s="15" t="str">
        <f aca="false">IF(L50="","",Preço!$D$7+MAX(0,MIN(L50,Preço!$C$8)-Preço!$C$7)*Preço!$D$8+MAX(0,MIN(L50,Preço!$C$9)-Preço!$C$8)*Preço!$D$9+MAX(0,L50-Preço!$C$9)*Preço!$D$10)</f>
        <v/>
      </c>
      <c r="S50" s="8"/>
    </row>
    <row r="51" customFormat="false" ht="22.35" hidden="false" customHeight="false" outlineLevel="0" collapsed="false">
      <c r="B51" s="4" t="n">
        <v>45</v>
      </c>
      <c r="C51" s="5" t="s">
        <v>165</v>
      </c>
      <c r="D51" s="5" t="s">
        <v>166</v>
      </c>
      <c r="E51" s="5" t="s">
        <v>167</v>
      </c>
      <c r="F51" s="6" t="s">
        <v>168</v>
      </c>
      <c r="G51" s="7" t="s">
        <v>169</v>
      </c>
      <c r="H51" s="8"/>
      <c r="I51" s="8"/>
      <c r="J51" s="8"/>
      <c r="K51" s="8"/>
      <c r="L51" s="9"/>
      <c r="M51" s="8"/>
      <c r="N51" s="8"/>
      <c r="O51" s="8"/>
      <c r="P51" s="8"/>
      <c r="Q51" s="4" t="str">
        <f aca="false">IF(L51="","",IF(L51&lt;=Preço!$C$7,Preço!$B$7,IF(L51&lt;=Preço!$C$8,Preço!$B$8,IF(L51&lt;=Preço!$C$9,Preço!$B$9,Preço!$B$10))))</f>
        <v/>
      </c>
      <c r="R51" s="10" t="str">
        <f aca="false">IF(L51="","",Preço!$D$7+MAX(0,MIN(L51,Preço!$C$8)-Preço!$C$7)*Preço!$D$8+MAX(0,MIN(L51,Preço!$C$9)-Preço!$C$8)*Preço!$D$9+MAX(0,L51-Preço!$C$9)*Preço!$D$10)</f>
        <v/>
      </c>
      <c r="S51" s="8"/>
    </row>
    <row r="52" customFormat="false" ht="22.35" hidden="false" customHeight="false" outlineLevel="0" collapsed="false">
      <c r="B52" s="11" t="n">
        <v>46</v>
      </c>
      <c r="C52" s="12" t="s">
        <v>170</v>
      </c>
      <c r="D52" s="12" t="s">
        <v>171</v>
      </c>
      <c r="E52" s="12" t="s">
        <v>172</v>
      </c>
      <c r="F52" s="13" t="s">
        <v>173</v>
      </c>
      <c r="G52" s="14" t="s">
        <v>174</v>
      </c>
      <c r="H52" s="8"/>
      <c r="I52" s="8"/>
      <c r="J52" s="8"/>
      <c r="K52" s="8"/>
      <c r="L52" s="9"/>
      <c r="M52" s="8"/>
      <c r="N52" s="8"/>
      <c r="O52" s="8"/>
      <c r="P52" s="8"/>
      <c r="Q52" s="11" t="str">
        <f aca="false">IF(L52="","",IF(L52&lt;=Preço!$C$7,Preço!$B$7,IF(L52&lt;=Preço!$C$8,Preço!$B$8,IF(L52&lt;=Preço!$C$9,Preço!$B$9,Preço!$B$10))))</f>
        <v/>
      </c>
      <c r="R52" s="15" t="str">
        <f aca="false">IF(L52="","",Preço!$D$7+MAX(0,MIN(L52,Preço!$C$8)-Preço!$C$7)*Preço!$D$8+MAX(0,MIN(L52,Preço!$C$9)-Preço!$C$8)*Preço!$D$9+MAX(0,L52-Preço!$C$9)*Preço!$D$10)</f>
        <v/>
      </c>
      <c r="S52" s="8"/>
    </row>
    <row r="53" customFormat="false" ht="22.35" hidden="false" customHeight="false" outlineLevel="0" collapsed="false">
      <c r="B53" s="4" t="n">
        <v>47</v>
      </c>
      <c r="C53" s="5" t="s">
        <v>175</v>
      </c>
      <c r="D53" s="5" t="s">
        <v>116</v>
      </c>
      <c r="E53" s="5" t="s">
        <v>176</v>
      </c>
      <c r="F53" s="6" t="s">
        <v>177</v>
      </c>
      <c r="G53" s="7" t="s">
        <v>169</v>
      </c>
      <c r="H53" s="8"/>
      <c r="I53" s="8"/>
      <c r="J53" s="8"/>
      <c r="K53" s="8"/>
      <c r="L53" s="9"/>
      <c r="M53" s="8"/>
      <c r="N53" s="8"/>
      <c r="O53" s="8"/>
      <c r="P53" s="8"/>
      <c r="Q53" s="4" t="str">
        <f aca="false">IF(L53="","",IF(L53&lt;=Preço!$C$7,Preço!$B$7,IF(L53&lt;=Preço!$C$8,Preço!$B$8,IF(L53&lt;=Preço!$C$9,Preço!$B$9,Preço!$B$10))))</f>
        <v/>
      </c>
      <c r="R53" s="10" t="str">
        <f aca="false">IF(L53="","",Preço!$D$7+MAX(0,MIN(L53,Preço!$C$8)-Preço!$C$7)*Preço!$D$8+MAX(0,MIN(L53,Preço!$C$9)-Preço!$C$8)*Preço!$D$9+MAX(0,L53-Preço!$C$9)*Preço!$D$10)</f>
        <v/>
      </c>
      <c r="S53" s="8"/>
    </row>
    <row r="54" customFormat="false" ht="22.35" hidden="false" customHeight="false" outlineLevel="0" collapsed="false">
      <c r="B54" s="11" t="n">
        <v>48</v>
      </c>
      <c r="C54" s="12" t="s">
        <v>178</v>
      </c>
      <c r="D54" s="12" t="s">
        <v>179</v>
      </c>
      <c r="E54" s="12" t="s">
        <v>180</v>
      </c>
      <c r="F54" s="13" t="s">
        <v>181</v>
      </c>
      <c r="G54" s="14" t="s">
        <v>174</v>
      </c>
      <c r="H54" s="8"/>
      <c r="I54" s="8"/>
      <c r="J54" s="8"/>
      <c r="K54" s="8"/>
      <c r="L54" s="9"/>
      <c r="M54" s="8"/>
      <c r="N54" s="8"/>
      <c r="O54" s="8"/>
      <c r="P54" s="8"/>
      <c r="Q54" s="11" t="str">
        <f aca="false">IF(L54="","",IF(L54&lt;=Preço!$C$7,Preço!$B$7,IF(L54&lt;=Preço!$C$8,Preço!$B$8,IF(L54&lt;=Preço!$C$9,Preço!$B$9,Preço!$B$10))))</f>
        <v/>
      </c>
      <c r="R54" s="15" t="str">
        <f aca="false">IF(L54="","",Preço!$D$7+MAX(0,MIN(L54,Preço!$C$8)-Preço!$C$7)*Preço!$D$8+MAX(0,MIN(L54,Preço!$C$9)-Preço!$C$8)*Preço!$D$9+MAX(0,L54-Preço!$C$9)*Preço!$D$10)</f>
        <v/>
      </c>
      <c r="S54" s="8"/>
    </row>
    <row r="55" customFormat="false" ht="22.35" hidden="false" customHeight="false" outlineLevel="0" collapsed="false">
      <c r="B55" s="4" t="n">
        <v>49</v>
      </c>
      <c r="C55" s="5" t="s">
        <v>182</v>
      </c>
      <c r="D55" s="5" t="s">
        <v>183</v>
      </c>
      <c r="E55" s="5" t="s">
        <v>184</v>
      </c>
      <c r="F55" s="6" t="s">
        <v>185</v>
      </c>
      <c r="G55" s="7" t="s">
        <v>169</v>
      </c>
      <c r="H55" s="8"/>
      <c r="I55" s="8"/>
      <c r="J55" s="8"/>
      <c r="K55" s="8"/>
      <c r="L55" s="9"/>
      <c r="M55" s="8"/>
      <c r="N55" s="8"/>
      <c r="O55" s="8"/>
      <c r="P55" s="8"/>
      <c r="Q55" s="4" t="str">
        <f aca="false">IF(L55="","",IF(L55&lt;=Preço!$C$7,Preço!$B$7,IF(L55&lt;=Preço!$C$8,Preço!$B$8,IF(L55&lt;=Preço!$C$9,Preço!$B$9,Preço!$B$10))))</f>
        <v/>
      </c>
      <c r="R55" s="10" t="str">
        <f aca="false">IF(L55="","",Preço!$D$7+MAX(0,MIN(L55,Preço!$C$8)-Preço!$C$7)*Preço!$D$8+MAX(0,MIN(L55,Preço!$C$9)-Preço!$C$8)*Preço!$D$9+MAX(0,L55-Preço!$C$9)*Preço!$D$10)</f>
        <v/>
      </c>
      <c r="S55" s="8"/>
    </row>
    <row r="56" customFormat="false" ht="15" hidden="false" customHeight="false" outlineLevel="0" collapsed="false">
      <c r="B56" s="11" t="n">
        <v>50</v>
      </c>
      <c r="C56" s="12" t="s">
        <v>186</v>
      </c>
      <c r="D56" s="12" t="s">
        <v>187</v>
      </c>
      <c r="E56" s="12" t="s">
        <v>188</v>
      </c>
      <c r="F56" s="13" t="s">
        <v>189</v>
      </c>
      <c r="G56" s="14" t="s">
        <v>190</v>
      </c>
      <c r="H56" s="8"/>
      <c r="I56" s="8"/>
      <c r="J56" s="8"/>
      <c r="K56" s="8"/>
      <c r="L56" s="9"/>
      <c r="M56" s="8"/>
      <c r="N56" s="8"/>
      <c r="O56" s="8"/>
      <c r="P56" s="8"/>
      <c r="Q56" s="11" t="str">
        <f aca="false">IF(L56="","",IF(L56&lt;=Preço!$C$7,Preço!$B$7,IF(L56&lt;=Preço!$C$8,Preço!$B$8,IF(L56&lt;=Preço!$C$9,Preço!$B$9,Preço!$B$10))))</f>
        <v/>
      </c>
      <c r="R56" s="15" t="str">
        <f aca="false">IF(L56="","",Preço!$D$7+MAX(0,MIN(L56,Preço!$C$8)-Preço!$C$7)*Preço!$D$8+MAX(0,MIN(L56,Preço!$C$9)-Preço!$C$8)*Preço!$D$9+MAX(0,L56-Preço!$C$9)*Preço!$D$10)</f>
        <v/>
      </c>
      <c r="S56" s="8"/>
    </row>
    <row r="57" customFormat="false" ht="22.35" hidden="false" customHeight="false" outlineLevel="0" collapsed="false">
      <c r="B57" s="4" t="n">
        <v>51</v>
      </c>
      <c r="C57" s="5" t="s">
        <v>191</v>
      </c>
      <c r="D57" s="5" t="s">
        <v>133</v>
      </c>
      <c r="E57" s="5" t="s">
        <v>192</v>
      </c>
      <c r="F57" s="6" t="s">
        <v>138</v>
      </c>
      <c r="G57" s="7" t="s">
        <v>193</v>
      </c>
      <c r="H57" s="8"/>
      <c r="I57" s="8"/>
      <c r="J57" s="8"/>
      <c r="K57" s="8"/>
      <c r="L57" s="9"/>
      <c r="M57" s="8"/>
      <c r="N57" s="8"/>
      <c r="O57" s="8"/>
      <c r="P57" s="8"/>
      <c r="Q57" s="4" t="str">
        <f aca="false">IF(L57="","",IF(L57&lt;=Preço!$C$7,Preço!$B$7,IF(L57&lt;=Preço!$C$8,Preço!$B$8,IF(L57&lt;=Preço!$C$9,Preço!$B$9,Preço!$B$10))))</f>
        <v/>
      </c>
      <c r="R57" s="10" t="str">
        <f aca="false">IF(L57="","",Preço!$D$7+MAX(0,MIN(L57,Preço!$C$8)-Preço!$C$7)*Preço!$D$8+MAX(0,MIN(L57,Preço!$C$9)-Preço!$C$8)*Preço!$D$9+MAX(0,L57-Preço!$C$9)*Preço!$D$10)</f>
        <v/>
      </c>
      <c r="S57" s="8"/>
    </row>
    <row r="58" customFormat="false" ht="15" hidden="false" customHeight="false" outlineLevel="0" collapsed="false">
      <c r="B58" s="11" t="n">
        <v>52</v>
      </c>
      <c r="C58" s="12" t="s">
        <v>194</v>
      </c>
      <c r="D58" s="12" t="s">
        <v>21</v>
      </c>
      <c r="E58" s="12" t="s">
        <v>195</v>
      </c>
      <c r="F58" s="16" t="s">
        <v>196</v>
      </c>
      <c r="G58" s="14"/>
      <c r="H58" s="8"/>
      <c r="I58" s="8"/>
      <c r="J58" s="8"/>
      <c r="K58" s="8"/>
      <c r="L58" s="9"/>
      <c r="M58" s="8"/>
      <c r="N58" s="8"/>
      <c r="O58" s="8"/>
      <c r="P58" s="8"/>
      <c r="Q58" s="11" t="str">
        <f aca="false">IF(L58="","",IF(L58&lt;=Preço!$C$7,Preço!$B$7,IF(L58&lt;=Preço!$C$8,Preço!$B$8,IF(L58&lt;=Preço!$C$9,Preço!$B$9,Preço!$B$10))))</f>
        <v/>
      </c>
      <c r="R58" s="15" t="str">
        <f aca="false">IF(L58="","",Preço!$D$7+MAX(0,MIN(L58,Preço!$C$8)-Preço!$C$7)*Preço!$D$8+MAX(0,MIN(L58,Preço!$C$9)-Preço!$C$8)*Preço!$D$9+MAX(0,L58-Preço!$C$9)*Preço!$D$10)</f>
        <v/>
      </c>
      <c r="S58" s="8"/>
    </row>
    <row r="59" customFormat="false" ht="15" hidden="false" customHeight="false" outlineLevel="0" collapsed="false">
      <c r="B59" s="4" t="n">
        <v>53</v>
      </c>
      <c r="C59" s="5" t="s">
        <v>197</v>
      </c>
      <c r="D59" s="5" t="s">
        <v>21</v>
      </c>
      <c r="E59" s="5" t="s">
        <v>198</v>
      </c>
      <c r="F59" s="17" t="s">
        <v>196</v>
      </c>
      <c r="G59" s="7"/>
      <c r="H59" s="8"/>
      <c r="I59" s="8"/>
      <c r="J59" s="8"/>
      <c r="K59" s="8"/>
      <c r="L59" s="9"/>
      <c r="M59" s="8"/>
      <c r="N59" s="8"/>
      <c r="O59" s="8"/>
      <c r="P59" s="8"/>
      <c r="Q59" s="4" t="str">
        <f aca="false">IF(L59="","",IF(L59&lt;=Preço!$C$7,Preço!$B$7,IF(L59&lt;=Preço!$C$8,Preço!$B$8,IF(L59&lt;=Preço!$C$9,Preço!$B$9,Preço!$B$10))))</f>
        <v/>
      </c>
      <c r="R59" s="10" t="str">
        <f aca="false">IF(L59="","",Preço!$D$7+MAX(0,MIN(L59,Preço!$C$8)-Preço!$C$7)*Preço!$D$8+MAX(0,MIN(L59,Preço!$C$9)-Preço!$C$8)*Preço!$D$9+MAX(0,L59-Preço!$C$9)*Preço!$D$10)</f>
        <v/>
      </c>
      <c r="S59" s="8"/>
    </row>
    <row r="60" customFormat="false" ht="15" hidden="false" customHeight="false" outlineLevel="0" collapsed="false">
      <c r="B60" s="11" t="n">
        <v>54</v>
      </c>
      <c r="C60" s="12" t="s">
        <v>199</v>
      </c>
      <c r="D60" s="12" t="s">
        <v>21</v>
      </c>
      <c r="E60" s="12" t="s">
        <v>200</v>
      </c>
      <c r="F60" s="16" t="s">
        <v>196</v>
      </c>
      <c r="G60" s="14"/>
      <c r="H60" s="8"/>
      <c r="I60" s="8"/>
      <c r="J60" s="8"/>
      <c r="K60" s="8"/>
      <c r="L60" s="9"/>
      <c r="M60" s="8"/>
      <c r="N60" s="8"/>
      <c r="O60" s="8"/>
      <c r="P60" s="8"/>
      <c r="Q60" s="11" t="str">
        <f aca="false">IF(L60="","",IF(L60&lt;=Preço!$C$7,Preço!$B$7,IF(L60&lt;=Preço!$C$8,Preço!$B$8,IF(L60&lt;=Preço!$C$9,Preço!$B$9,Preço!$B$10))))</f>
        <v/>
      </c>
      <c r="R60" s="15" t="str">
        <f aca="false">IF(L60="","",Preço!$D$7+MAX(0,MIN(L60,Preço!$C$8)-Preço!$C$7)*Preço!$D$8+MAX(0,MIN(L60,Preço!$C$9)-Preço!$C$8)*Preço!$D$9+MAX(0,L60-Preço!$C$9)*Preço!$D$10)</f>
        <v/>
      </c>
      <c r="S60" s="8"/>
    </row>
    <row r="61" customFormat="false" ht="15" hidden="false" customHeight="false" outlineLevel="0" collapsed="false">
      <c r="B61" s="4" t="n">
        <v>55</v>
      </c>
      <c r="C61" s="5" t="s">
        <v>201</v>
      </c>
      <c r="D61" s="5" t="s">
        <v>21</v>
      </c>
      <c r="E61" s="5" t="s">
        <v>202</v>
      </c>
      <c r="F61" s="17" t="s">
        <v>196</v>
      </c>
      <c r="G61" s="7"/>
      <c r="H61" s="8"/>
      <c r="I61" s="8"/>
      <c r="J61" s="8"/>
      <c r="K61" s="8"/>
      <c r="L61" s="9"/>
      <c r="M61" s="8"/>
      <c r="N61" s="8"/>
      <c r="O61" s="8"/>
      <c r="P61" s="8"/>
      <c r="Q61" s="4" t="str">
        <f aca="false">IF(L61="","",IF(L61&lt;=Preço!$C$7,Preço!$B$7,IF(L61&lt;=Preço!$C$8,Preço!$B$8,IF(L61&lt;=Preço!$C$9,Preço!$B$9,Preço!$B$10))))</f>
        <v/>
      </c>
      <c r="R61" s="10" t="str">
        <f aca="false">IF(L61="","",Preço!$D$7+MAX(0,MIN(L61,Preço!$C$8)-Preço!$C$7)*Preço!$D$8+MAX(0,MIN(L61,Preço!$C$9)-Preço!$C$8)*Preço!$D$9+MAX(0,L61-Preço!$C$9)*Preço!$D$10)</f>
        <v/>
      </c>
      <c r="S61" s="8"/>
    </row>
    <row r="62" customFormat="false" ht="15" hidden="false" customHeight="false" outlineLevel="0" collapsed="false">
      <c r="B62" s="11" t="n">
        <v>56</v>
      </c>
      <c r="C62" s="12" t="s">
        <v>203</v>
      </c>
      <c r="D62" s="12" t="s">
        <v>21</v>
      </c>
      <c r="E62" s="12" t="s">
        <v>204</v>
      </c>
      <c r="F62" s="16" t="s">
        <v>196</v>
      </c>
      <c r="G62" s="14"/>
      <c r="H62" s="8"/>
      <c r="I62" s="8"/>
      <c r="J62" s="8"/>
      <c r="K62" s="8"/>
      <c r="L62" s="9"/>
      <c r="M62" s="8"/>
      <c r="N62" s="8"/>
      <c r="O62" s="8"/>
      <c r="P62" s="8"/>
      <c r="Q62" s="11" t="str">
        <f aca="false">IF(L62="","",IF(L62&lt;=Preço!$C$7,Preço!$B$7,IF(L62&lt;=Preço!$C$8,Preço!$B$8,IF(L62&lt;=Preço!$C$9,Preço!$B$9,Preço!$B$10))))</f>
        <v/>
      </c>
      <c r="R62" s="15" t="str">
        <f aca="false">IF(L62="","",Preço!$D$7+MAX(0,MIN(L62,Preço!$C$8)-Preço!$C$7)*Preço!$D$8+MAX(0,MIN(L62,Preço!$C$9)-Preço!$C$8)*Preço!$D$9+MAX(0,L62-Preço!$C$9)*Preço!$D$10)</f>
        <v/>
      </c>
      <c r="S62" s="8"/>
    </row>
    <row r="63" customFormat="false" ht="15" hidden="false" customHeight="false" outlineLevel="0" collapsed="false">
      <c r="B63" s="4" t="n">
        <v>57</v>
      </c>
      <c r="C63" s="5" t="s">
        <v>205</v>
      </c>
      <c r="D63" s="5" t="s">
        <v>21</v>
      </c>
      <c r="E63" s="5" t="s">
        <v>206</v>
      </c>
      <c r="F63" s="17" t="s">
        <v>196</v>
      </c>
      <c r="G63" s="7"/>
      <c r="H63" s="8"/>
      <c r="I63" s="8"/>
      <c r="J63" s="8"/>
      <c r="K63" s="8"/>
      <c r="L63" s="9"/>
      <c r="M63" s="8"/>
      <c r="N63" s="8"/>
      <c r="O63" s="8"/>
      <c r="P63" s="8"/>
      <c r="Q63" s="4" t="str">
        <f aca="false">IF(L63="","",IF(L63&lt;=Preço!$C$7,Preço!$B$7,IF(L63&lt;=Preço!$C$8,Preço!$B$8,IF(L63&lt;=Preço!$C$9,Preço!$B$9,Preço!$B$10))))</f>
        <v/>
      </c>
      <c r="R63" s="10" t="str">
        <f aca="false">IF(L63="","",Preço!$D$7+MAX(0,MIN(L63,Preço!$C$8)-Preço!$C$7)*Preço!$D$8+MAX(0,MIN(L63,Preço!$C$9)-Preço!$C$8)*Preço!$D$9+MAX(0,L63-Preço!$C$9)*Preço!$D$10)</f>
        <v/>
      </c>
      <c r="S63" s="8"/>
    </row>
    <row r="64" customFormat="false" ht="15" hidden="false" customHeight="false" outlineLevel="0" collapsed="false">
      <c r="B64" s="11" t="n">
        <v>58</v>
      </c>
      <c r="C64" s="12" t="s">
        <v>207</v>
      </c>
      <c r="D64" s="12" t="s">
        <v>21</v>
      </c>
      <c r="E64" s="12" t="s">
        <v>208</v>
      </c>
      <c r="F64" s="16" t="s">
        <v>196</v>
      </c>
      <c r="G64" s="14"/>
      <c r="H64" s="8"/>
      <c r="I64" s="8"/>
      <c r="J64" s="8"/>
      <c r="K64" s="8"/>
      <c r="L64" s="9"/>
      <c r="M64" s="8"/>
      <c r="N64" s="8"/>
      <c r="O64" s="8"/>
      <c r="P64" s="8"/>
      <c r="Q64" s="11" t="str">
        <f aca="false">IF(L64="","",IF(L64&lt;=Preço!$C$7,Preço!$B$7,IF(L64&lt;=Preço!$C$8,Preço!$B$8,IF(L64&lt;=Preço!$C$9,Preço!$B$9,Preço!$B$10))))</f>
        <v/>
      </c>
      <c r="R64" s="15" t="str">
        <f aca="false">IF(L64="","",Preço!$D$7+MAX(0,MIN(L64,Preço!$C$8)-Preço!$C$7)*Preço!$D$8+MAX(0,MIN(L64,Preço!$C$9)-Preço!$C$8)*Preço!$D$9+MAX(0,L64-Preço!$C$9)*Preço!$D$10)</f>
        <v/>
      </c>
      <c r="S64" s="8"/>
    </row>
    <row r="65" customFormat="false" ht="15" hidden="false" customHeight="false" outlineLevel="0" collapsed="false">
      <c r="B65" s="4" t="n">
        <v>59</v>
      </c>
      <c r="C65" s="5" t="s">
        <v>209</v>
      </c>
      <c r="D65" s="5" t="s">
        <v>21</v>
      </c>
      <c r="E65" s="5" t="s">
        <v>210</v>
      </c>
      <c r="F65" s="17" t="s">
        <v>196</v>
      </c>
      <c r="G65" s="7"/>
      <c r="H65" s="8"/>
      <c r="I65" s="8"/>
      <c r="J65" s="8"/>
      <c r="K65" s="8"/>
      <c r="L65" s="9"/>
      <c r="M65" s="8"/>
      <c r="N65" s="8"/>
      <c r="O65" s="8"/>
      <c r="P65" s="8"/>
      <c r="Q65" s="4" t="str">
        <f aca="false">IF(L65="","",IF(L65&lt;=Preço!$C$7,Preço!$B$7,IF(L65&lt;=Preço!$C$8,Preço!$B$8,IF(L65&lt;=Preço!$C$9,Preço!$B$9,Preço!$B$10))))</f>
        <v/>
      </c>
      <c r="R65" s="10" t="str">
        <f aca="false">IF(L65="","",Preço!$D$7+MAX(0,MIN(L65,Preço!$C$8)-Preço!$C$7)*Preço!$D$8+MAX(0,MIN(L65,Preço!$C$9)-Preço!$C$8)*Preço!$D$9+MAX(0,L65-Preço!$C$9)*Preço!$D$10)</f>
        <v/>
      </c>
      <c r="S65" s="8"/>
    </row>
    <row r="66" customFormat="false" ht="15" hidden="false" customHeight="false" outlineLevel="0" collapsed="false">
      <c r="B66" s="11" t="n">
        <v>60</v>
      </c>
      <c r="C66" s="12" t="s">
        <v>211</v>
      </c>
      <c r="D66" s="12" t="s">
        <v>21</v>
      </c>
      <c r="E66" s="12" t="s">
        <v>212</v>
      </c>
      <c r="F66" s="16" t="s">
        <v>196</v>
      </c>
      <c r="G66" s="14"/>
      <c r="H66" s="8"/>
      <c r="I66" s="8"/>
      <c r="J66" s="8"/>
      <c r="K66" s="8"/>
      <c r="L66" s="9"/>
      <c r="M66" s="8"/>
      <c r="N66" s="8"/>
      <c r="O66" s="8"/>
      <c r="P66" s="8"/>
      <c r="Q66" s="11" t="str">
        <f aca="false">IF(L66="","",IF(L66&lt;=Preço!$C$7,Preço!$B$7,IF(L66&lt;=Preço!$C$8,Preço!$B$8,IF(L66&lt;=Preço!$C$9,Preço!$B$9,Preço!$B$10))))</f>
        <v/>
      </c>
      <c r="R66" s="15" t="str">
        <f aca="false">IF(L66="","",Preço!$D$7+MAX(0,MIN(L66,Preço!$C$8)-Preço!$C$7)*Preço!$D$8+MAX(0,MIN(L66,Preço!$C$9)-Preço!$C$8)*Preço!$D$9+MAX(0,L66-Preço!$C$9)*Preço!$D$10)</f>
        <v/>
      </c>
      <c r="S66" s="8"/>
    </row>
    <row r="67" customFormat="false" ht="15" hidden="false" customHeight="false" outlineLevel="0" collapsed="false">
      <c r="B67" s="4" t="n">
        <v>61</v>
      </c>
      <c r="C67" s="5" t="s">
        <v>213</v>
      </c>
      <c r="D67" s="5" t="s">
        <v>21</v>
      </c>
      <c r="E67" s="5" t="s">
        <v>214</v>
      </c>
      <c r="F67" s="17" t="s">
        <v>196</v>
      </c>
      <c r="G67" s="7"/>
      <c r="H67" s="8"/>
      <c r="I67" s="8"/>
      <c r="J67" s="8"/>
      <c r="K67" s="8"/>
      <c r="L67" s="9"/>
      <c r="M67" s="8"/>
      <c r="N67" s="8"/>
      <c r="O67" s="8"/>
      <c r="P67" s="8"/>
      <c r="Q67" s="4" t="str">
        <f aca="false">IF(L67="","",IF(L67&lt;=Preço!$C$7,Preço!$B$7,IF(L67&lt;=Preço!$C$8,Preço!$B$8,IF(L67&lt;=Preço!$C$9,Preço!$B$9,Preço!$B$10))))</f>
        <v/>
      </c>
      <c r="R67" s="10" t="str">
        <f aca="false">IF(L67="","",Preço!$D$7+MAX(0,MIN(L67,Preço!$C$8)-Preço!$C$7)*Preço!$D$8+MAX(0,MIN(L67,Preço!$C$9)-Preço!$C$8)*Preço!$D$9+MAX(0,L67-Preço!$C$9)*Preço!$D$10)</f>
        <v/>
      </c>
      <c r="S67" s="8"/>
    </row>
    <row r="68" customFormat="false" ht="15" hidden="false" customHeight="false" outlineLevel="0" collapsed="false">
      <c r="B68" s="11" t="n">
        <v>62</v>
      </c>
      <c r="C68" s="12" t="s">
        <v>215</v>
      </c>
      <c r="D68" s="12" t="s">
        <v>21</v>
      </c>
      <c r="E68" s="12" t="s">
        <v>216</v>
      </c>
      <c r="F68" s="16" t="s">
        <v>196</v>
      </c>
      <c r="G68" s="14"/>
      <c r="H68" s="8"/>
      <c r="I68" s="8"/>
      <c r="J68" s="8"/>
      <c r="K68" s="8"/>
      <c r="L68" s="9"/>
      <c r="M68" s="8"/>
      <c r="N68" s="8"/>
      <c r="O68" s="8"/>
      <c r="P68" s="8"/>
      <c r="Q68" s="11" t="str">
        <f aca="false">IF(L68="","",IF(L68&lt;=Preço!$C$7,Preço!$B$7,IF(L68&lt;=Preço!$C$8,Preço!$B$8,IF(L68&lt;=Preço!$C$9,Preço!$B$9,Preço!$B$10))))</f>
        <v/>
      </c>
      <c r="R68" s="15" t="str">
        <f aca="false">IF(L68="","",Preço!$D$7+MAX(0,MIN(L68,Preço!$C$8)-Preço!$C$7)*Preço!$D$8+MAX(0,MIN(L68,Preço!$C$9)-Preço!$C$8)*Preço!$D$9+MAX(0,L68-Preço!$C$9)*Preço!$D$10)</f>
        <v/>
      </c>
      <c r="S68" s="8"/>
    </row>
    <row r="69" customFormat="false" ht="15" hidden="false" customHeight="false" outlineLevel="0" collapsed="false">
      <c r="B69" s="4" t="n">
        <v>63</v>
      </c>
      <c r="C69" s="5" t="s">
        <v>217</v>
      </c>
      <c r="D69" s="5" t="s">
        <v>97</v>
      </c>
      <c r="E69" s="5" t="s">
        <v>218</v>
      </c>
      <c r="F69" s="17" t="s">
        <v>196</v>
      </c>
      <c r="G69" s="7"/>
      <c r="H69" s="8"/>
      <c r="I69" s="8"/>
      <c r="J69" s="8"/>
      <c r="K69" s="8"/>
      <c r="L69" s="9"/>
      <c r="M69" s="8"/>
      <c r="N69" s="8"/>
      <c r="O69" s="8"/>
      <c r="P69" s="8"/>
      <c r="Q69" s="4" t="str">
        <f aca="false">IF(L69="","",IF(L69&lt;=Preço!$C$7,Preço!$B$7,IF(L69&lt;=Preço!$C$8,Preço!$B$8,IF(L69&lt;=Preço!$C$9,Preço!$B$9,Preço!$B$10))))</f>
        <v/>
      </c>
      <c r="R69" s="10" t="str">
        <f aca="false">IF(L69="","",Preço!$D$7+MAX(0,MIN(L69,Preço!$C$8)-Preço!$C$7)*Preço!$D$8+MAX(0,MIN(L69,Preço!$C$9)-Preço!$C$8)*Preço!$D$9+MAX(0,L69-Preço!$C$9)*Preço!$D$10)</f>
        <v/>
      </c>
      <c r="S69" s="8"/>
    </row>
    <row r="70" customFormat="false" ht="15" hidden="false" customHeight="false" outlineLevel="0" collapsed="false">
      <c r="B70" s="11" t="n">
        <v>64</v>
      </c>
      <c r="C70" s="12" t="s">
        <v>219</v>
      </c>
      <c r="D70" s="12" t="s">
        <v>220</v>
      </c>
      <c r="E70" s="12" t="s">
        <v>221</v>
      </c>
      <c r="F70" s="16" t="s">
        <v>196</v>
      </c>
      <c r="G70" s="14"/>
      <c r="H70" s="8"/>
      <c r="I70" s="8"/>
      <c r="J70" s="8"/>
      <c r="K70" s="8"/>
      <c r="L70" s="9"/>
      <c r="M70" s="8"/>
      <c r="N70" s="8"/>
      <c r="O70" s="8"/>
      <c r="P70" s="8"/>
      <c r="Q70" s="11" t="str">
        <f aca="false">IF(L70="","",IF(L70&lt;=Preço!$C$7,Preço!$B$7,IF(L70&lt;=Preço!$C$8,Preço!$B$8,IF(L70&lt;=Preço!$C$9,Preço!$B$9,Preço!$B$10))))</f>
        <v/>
      </c>
      <c r="R70" s="15" t="str">
        <f aca="false">IF(L70="","",Preço!$D$7+MAX(0,MIN(L70,Preço!$C$8)-Preço!$C$7)*Preço!$D$8+MAX(0,MIN(L70,Preço!$C$9)-Preço!$C$8)*Preço!$D$9+MAX(0,L70-Preço!$C$9)*Preço!$D$10)</f>
        <v/>
      </c>
      <c r="S70" s="8"/>
    </row>
    <row r="71" customFormat="false" ht="15" hidden="false" customHeight="false" outlineLevel="0" collapsed="false">
      <c r="B71" s="4" t="n">
        <v>65</v>
      </c>
      <c r="C71" s="5" t="s">
        <v>222</v>
      </c>
      <c r="D71" s="5" t="s">
        <v>104</v>
      </c>
      <c r="E71" s="5" t="s">
        <v>223</v>
      </c>
      <c r="F71" s="17" t="s">
        <v>196</v>
      </c>
      <c r="G71" s="7"/>
      <c r="H71" s="8"/>
      <c r="I71" s="8"/>
      <c r="J71" s="8"/>
      <c r="K71" s="8"/>
      <c r="L71" s="9"/>
      <c r="M71" s="8"/>
      <c r="N71" s="8"/>
      <c r="O71" s="8"/>
      <c r="P71" s="8"/>
      <c r="Q71" s="4" t="str">
        <f aca="false">IF(L71="","",IF(L71&lt;=Preço!$C$7,Preço!$B$7,IF(L71&lt;=Preço!$C$8,Preço!$B$8,IF(L71&lt;=Preço!$C$9,Preço!$B$9,Preço!$B$10))))</f>
        <v/>
      </c>
      <c r="R71" s="10" t="str">
        <f aca="false">IF(L71="","",Preço!$D$7+MAX(0,MIN(L71,Preço!$C$8)-Preço!$C$7)*Preço!$D$8+MAX(0,MIN(L71,Preço!$C$9)-Preço!$C$8)*Preço!$D$9+MAX(0,L71-Preço!$C$9)*Preço!$D$10)</f>
        <v/>
      </c>
      <c r="S71" s="8"/>
    </row>
    <row r="72" customFormat="false" ht="15" hidden="false" customHeight="false" outlineLevel="0" collapsed="false">
      <c r="B72" s="11" t="n">
        <v>66</v>
      </c>
      <c r="C72" s="12" t="s">
        <v>224</v>
      </c>
      <c r="D72" s="12" t="s">
        <v>108</v>
      </c>
      <c r="E72" s="12" t="s">
        <v>225</v>
      </c>
      <c r="F72" s="16" t="s">
        <v>196</v>
      </c>
      <c r="G72" s="14"/>
      <c r="H72" s="8"/>
      <c r="I72" s="8"/>
      <c r="J72" s="8"/>
      <c r="K72" s="8"/>
      <c r="L72" s="9"/>
      <c r="M72" s="8"/>
      <c r="N72" s="8"/>
      <c r="O72" s="8"/>
      <c r="P72" s="8"/>
      <c r="Q72" s="11" t="str">
        <f aca="false">IF(L72="","",IF(L72&lt;=Preço!$C$7,Preço!$B$7,IF(L72&lt;=Preço!$C$8,Preço!$B$8,IF(L72&lt;=Preço!$C$9,Preço!$B$9,Preço!$B$10))))</f>
        <v/>
      </c>
      <c r="R72" s="15" t="str">
        <f aca="false">IF(L72="","",Preço!$D$7+MAX(0,MIN(L72,Preço!$C$8)-Preço!$C$7)*Preço!$D$8+MAX(0,MIN(L72,Preço!$C$9)-Preço!$C$8)*Preço!$D$9+MAX(0,L72-Preço!$C$9)*Preço!$D$10)</f>
        <v/>
      </c>
      <c r="S72" s="8"/>
    </row>
    <row r="73" customFormat="false" ht="15" hidden="false" customHeight="false" outlineLevel="0" collapsed="false">
      <c r="B73" s="4" t="n">
        <v>67</v>
      </c>
      <c r="C73" s="5" t="s">
        <v>226</v>
      </c>
      <c r="D73" s="5" t="s">
        <v>116</v>
      </c>
      <c r="E73" s="5" t="s">
        <v>227</v>
      </c>
      <c r="F73" s="17" t="s">
        <v>196</v>
      </c>
      <c r="G73" s="7"/>
      <c r="H73" s="8"/>
      <c r="I73" s="8"/>
      <c r="J73" s="8"/>
      <c r="K73" s="8"/>
      <c r="L73" s="9"/>
      <c r="M73" s="8"/>
      <c r="N73" s="8"/>
      <c r="O73" s="8"/>
      <c r="P73" s="8"/>
      <c r="Q73" s="4" t="str">
        <f aca="false">IF(L73="","",IF(L73&lt;=Preço!$C$7,Preço!$B$7,IF(L73&lt;=Preço!$C$8,Preço!$B$8,IF(L73&lt;=Preço!$C$9,Preço!$B$9,Preço!$B$10))))</f>
        <v/>
      </c>
      <c r="R73" s="10" t="str">
        <f aca="false">IF(L73="","",Preço!$D$7+MAX(0,MIN(L73,Preço!$C$8)-Preço!$C$7)*Preço!$D$8+MAX(0,MIN(L73,Preço!$C$9)-Preço!$C$8)*Preço!$D$9+MAX(0,L73-Preço!$C$9)*Preço!$D$10)</f>
        <v/>
      </c>
      <c r="S73" s="8"/>
    </row>
    <row r="74" customFormat="false" ht="15" hidden="false" customHeight="false" outlineLevel="0" collapsed="false">
      <c r="B74" s="11" t="n">
        <v>68</v>
      </c>
      <c r="C74" s="12" t="s">
        <v>228</v>
      </c>
      <c r="D74" s="12" t="s">
        <v>229</v>
      </c>
      <c r="E74" s="12" t="s">
        <v>230</v>
      </c>
      <c r="F74" s="16" t="s">
        <v>196</v>
      </c>
      <c r="G74" s="14"/>
      <c r="H74" s="8"/>
      <c r="I74" s="8"/>
      <c r="J74" s="8"/>
      <c r="K74" s="8"/>
      <c r="L74" s="9"/>
      <c r="M74" s="8"/>
      <c r="N74" s="8"/>
      <c r="O74" s="8"/>
      <c r="P74" s="8"/>
      <c r="Q74" s="11" t="str">
        <f aca="false">IF(L74="","",IF(L74&lt;=Preço!$C$7,Preço!$B$7,IF(L74&lt;=Preço!$C$8,Preço!$B$8,IF(L74&lt;=Preço!$C$9,Preço!$B$9,Preço!$B$10))))</f>
        <v/>
      </c>
      <c r="R74" s="15" t="str">
        <f aca="false">IF(L74="","",Preço!$D$7+MAX(0,MIN(L74,Preço!$C$8)-Preço!$C$7)*Preço!$D$8+MAX(0,MIN(L74,Preço!$C$9)-Preço!$C$8)*Preço!$D$9+MAX(0,L74-Preço!$C$9)*Preço!$D$10)</f>
        <v/>
      </c>
      <c r="S74" s="8"/>
    </row>
    <row r="75" customFormat="false" ht="15" hidden="false" customHeight="false" outlineLevel="0" collapsed="false">
      <c r="B75" s="4" t="n">
        <v>69</v>
      </c>
      <c r="C75" s="5" t="s">
        <v>231</v>
      </c>
      <c r="D75" s="5" t="s">
        <v>124</v>
      </c>
      <c r="E75" s="5" t="s">
        <v>232</v>
      </c>
      <c r="F75" s="17" t="s">
        <v>196</v>
      </c>
      <c r="G75" s="7"/>
      <c r="H75" s="8"/>
      <c r="I75" s="8"/>
      <c r="J75" s="8"/>
      <c r="K75" s="8"/>
      <c r="L75" s="9"/>
      <c r="M75" s="8"/>
      <c r="N75" s="8"/>
      <c r="O75" s="8"/>
      <c r="P75" s="8"/>
      <c r="Q75" s="4" t="str">
        <f aca="false">IF(L75="","",IF(L75&lt;=Preço!$C$7,Preço!$B$7,IF(L75&lt;=Preço!$C$8,Preço!$B$8,IF(L75&lt;=Preço!$C$9,Preço!$B$9,Preço!$B$10))))</f>
        <v/>
      </c>
      <c r="R75" s="10" t="str">
        <f aca="false">IF(L75="","",Preço!$D$7+MAX(0,MIN(L75,Preço!$C$8)-Preço!$C$7)*Preço!$D$8+MAX(0,MIN(L75,Preço!$C$9)-Preço!$C$8)*Preço!$D$9+MAX(0,L75-Preço!$C$9)*Preço!$D$10)</f>
        <v/>
      </c>
      <c r="S75" s="8"/>
    </row>
    <row r="76" customFormat="false" ht="15" hidden="false" customHeight="false" outlineLevel="0" collapsed="false">
      <c r="B76" s="11" t="n">
        <v>70</v>
      </c>
      <c r="C76" s="12" t="s">
        <v>233</v>
      </c>
      <c r="D76" s="12" t="s">
        <v>133</v>
      </c>
      <c r="E76" s="12"/>
      <c r="F76" s="16" t="s">
        <v>196</v>
      </c>
      <c r="G76" s="14"/>
      <c r="H76" s="8"/>
      <c r="I76" s="8"/>
      <c r="J76" s="8"/>
      <c r="K76" s="8"/>
      <c r="L76" s="9"/>
      <c r="M76" s="8"/>
      <c r="N76" s="8"/>
      <c r="O76" s="8"/>
      <c r="P76" s="8"/>
      <c r="Q76" s="11" t="str">
        <f aca="false">IF(L76="","",IF(L76&lt;=Preço!$C$7,Preço!$B$7,IF(L76&lt;=Preço!$C$8,Preço!$B$8,IF(L76&lt;=Preço!$C$9,Preço!$B$9,Preço!$B$10))))</f>
        <v/>
      </c>
      <c r="R76" s="15" t="str">
        <f aca="false">IF(L76="","",Preço!$D$7+MAX(0,MIN(L76,Preço!$C$8)-Preço!$C$7)*Preço!$D$8+MAX(0,MIN(L76,Preço!$C$9)-Preço!$C$8)*Preço!$D$9+MAX(0,L76-Preço!$C$9)*Preço!$D$10)</f>
        <v/>
      </c>
      <c r="S76" s="8"/>
    </row>
    <row r="77" customFormat="false" ht="15" hidden="false" customHeight="false" outlineLevel="0" collapsed="false">
      <c r="B77" s="18"/>
      <c r="C77" s="18" t="s">
        <v>234</v>
      </c>
      <c r="D77" s="18"/>
      <c r="E77" s="18"/>
      <c r="F77" s="18"/>
      <c r="G77" s="18"/>
      <c r="H77" s="18"/>
      <c r="I77" s="18"/>
      <c r="J77" s="18"/>
      <c r="K77" s="18"/>
      <c r="L77" s="19" t="n">
        <f aca="false">SUM(L7:L76)</f>
        <v>0</v>
      </c>
      <c r="M77" s="18"/>
      <c r="N77" s="18"/>
      <c r="O77" s="18"/>
      <c r="P77" s="18"/>
      <c r="Q77" s="18"/>
      <c r="R77" s="20" t="n">
        <f aca="false">SUM(R7:R76)</f>
        <v>0</v>
      </c>
      <c r="S77" s="18"/>
    </row>
    <row r="79" customFormat="false" ht="15" hidden="false" customHeight="false" outlineLevel="0" collapsed="false">
      <c r="C79" s="21" t="s">
        <v>235</v>
      </c>
      <c r="F79" s="22" t="n">
        <f aca="false">COUNTA(C7:C76)</f>
        <v>70</v>
      </c>
    </row>
    <row r="80" customFormat="false" ht="15" hidden="false" customHeight="false" outlineLevel="0" collapsed="false">
      <c r="C80" s="21" t="s">
        <v>236</v>
      </c>
      <c r="F80" s="22" t="n">
        <f aca="false">COUNTIF(G7:G76,"")-COUNTIF(F7:F76,"sem telefone")</f>
        <v>36</v>
      </c>
    </row>
    <row r="81" customFormat="false" ht="15" hidden="false" customHeight="false" outlineLevel="0" collapsed="false">
      <c r="C81" s="21" t="s">
        <v>237</v>
      </c>
      <c r="F81" s="22" t="n">
        <f aca="false">COUNTA(H7:H76)</f>
        <v>0</v>
      </c>
    </row>
    <row r="82" customFormat="false" ht="15" hidden="false" customHeight="false" outlineLevel="0" collapsed="false">
      <c r="C82" s="21" t="s">
        <v>238</v>
      </c>
      <c r="F82" s="22" t="n">
        <f aca="false">COUNT(L7:L76)</f>
        <v>0</v>
      </c>
    </row>
    <row r="83" customFormat="false" ht="15" hidden="false" customHeight="false" outlineLevel="0" collapsed="false">
      <c r="C83" s="21" t="s">
        <v>239</v>
      </c>
      <c r="F83" s="22" t="n">
        <f aca="false">COUNTIF(O7:O76,"Quente")</f>
        <v>0</v>
      </c>
    </row>
    <row r="84" customFormat="false" ht="15" hidden="false" customHeight="false" outlineLevel="0" collapsed="false">
      <c r="C84" s="21" t="s">
        <v>240</v>
      </c>
      <c r="F84" s="23" t="n">
        <f aca="false">R77</f>
        <v>0</v>
      </c>
    </row>
  </sheetData>
  <dataValidations count="2">
    <dataValidation allowBlank="true" errorStyle="stop" operator="between" showDropDown="false" showErrorMessage="false" showInputMessage="false" sqref="M7:M76" type="list">
      <formula1>"Sim,Não,Não sabe"</formula1>
      <formula2>0</formula2>
    </dataValidation>
    <dataValidation allowBlank="true" errorStyle="stop" operator="between" showDropDown="false" showErrorMessage="false" showInputMessage="false" sqref="O7:O76" type="list">
      <formula1>"Quente,Morno,Frio,Sem interesse"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58"/>
    <col collapsed="false" customWidth="true" hidden="false" outlineLevel="0" max="6" min="6" style="0" width="24"/>
  </cols>
  <sheetData>
    <row r="2" customFormat="false" ht="18.55" hidden="false" customHeight="false" outlineLevel="0" collapsed="false">
      <c r="B2" s="1" t="s">
        <v>241</v>
      </c>
    </row>
    <row r="3" customFormat="false" ht="15" hidden="false" customHeight="false" outlineLevel="0" collapsed="false">
      <c r="B3" s="2" t="s">
        <v>242</v>
      </c>
    </row>
    <row r="6" customFormat="false" ht="36" hidden="false" customHeight="true" outlineLevel="0" collapsed="false">
      <c r="B6" s="3" t="s">
        <v>2</v>
      </c>
      <c r="C6" s="3" t="s">
        <v>3</v>
      </c>
      <c r="D6" s="3" t="s">
        <v>243</v>
      </c>
      <c r="E6" s="3" t="s">
        <v>244</v>
      </c>
      <c r="F6" s="3" t="s">
        <v>245</v>
      </c>
    </row>
    <row r="7" customFormat="false" ht="27.75" hidden="false" customHeight="true" outlineLevel="0" collapsed="false">
      <c r="B7" s="4" t="n">
        <v>1</v>
      </c>
      <c r="C7" s="5" t="s">
        <v>175</v>
      </c>
      <c r="D7" s="4" t="s">
        <v>246</v>
      </c>
      <c r="E7" s="7" t="s">
        <v>169</v>
      </c>
      <c r="F7" s="9"/>
    </row>
    <row r="8" customFormat="false" ht="27.75" hidden="false" customHeight="true" outlineLevel="0" collapsed="false">
      <c r="B8" s="4" t="n">
        <v>2</v>
      </c>
      <c r="C8" s="5" t="s">
        <v>150</v>
      </c>
      <c r="D8" s="4" t="s">
        <v>247</v>
      </c>
      <c r="E8" s="7" t="s">
        <v>153</v>
      </c>
      <c r="F8" s="9"/>
    </row>
    <row r="9" customFormat="false" ht="27.75" hidden="false" customHeight="true" outlineLevel="0" collapsed="false">
      <c r="B9" s="4" t="n">
        <v>3</v>
      </c>
      <c r="C9" s="5" t="s">
        <v>178</v>
      </c>
      <c r="D9" s="4" t="s">
        <v>248</v>
      </c>
      <c r="E9" s="7" t="s">
        <v>174</v>
      </c>
      <c r="F9" s="9"/>
    </row>
    <row r="10" customFormat="false" ht="27.75" hidden="false" customHeight="true" outlineLevel="0" collapsed="false">
      <c r="B10" s="4" t="n">
        <v>4</v>
      </c>
      <c r="C10" s="5" t="s">
        <v>182</v>
      </c>
      <c r="D10" s="4" t="s">
        <v>249</v>
      </c>
      <c r="E10" s="7" t="s">
        <v>169</v>
      </c>
      <c r="F10" s="9"/>
    </row>
    <row r="11" customFormat="false" ht="27.75" hidden="false" customHeight="true" outlineLevel="0" collapsed="false">
      <c r="B11" s="4" t="n">
        <v>5</v>
      </c>
      <c r="C11" s="5" t="s">
        <v>191</v>
      </c>
      <c r="D11" s="4" t="s">
        <v>138</v>
      </c>
      <c r="E11" s="7" t="s">
        <v>193</v>
      </c>
      <c r="F11" s="9"/>
    </row>
    <row r="12" customFormat="false" ht="27.75" hidden="false" customHeight="true" outlineLevel="0" collapsed="false">
      <c r="B12" s="4" t="n">
        <v>6</v>
      </c>
      <c r="C12" s="5" t="s">
        <v>148</v>
      </c>
      <c r="D12" s="4" t="s">
        <v>142</v>
      </c>
      <c r="E12" s="7" t="s">
        <v>149</v>
      </c>
      <c r="F12" s="9"/>
    </row>
    <row r="13" customFormat="false" ht="27.75" hidden="false" customHeight="true" outlineLevel="0" collapsed="false">
      <c r="B13" s="4" t="n">
        <v>7</v>
      </c>
      <c r="C13" s="5" t="s">
        <v>140</v>
      </c>
      <c r="D13" s="4" t="s">
        <v>142</v>
      </c>
      <c r="E13" s="7" t="s">
        <v>143</v>
      </c>
      <c r="F13" s="9"/>
    </row>
    <row r="14" customFormat="false" ht="27.75" hidden="false" customHeight="true" outlineLevel="0" collapsed="false">
      <c r="B14" s="4" t="n">
        <v>8</v>
      </c>
      <c r="C14" s="5" t="s">
        <v>162</v>
      </c>
      <c r="D14" s="4" t="s">
        <v>146</v>
      </c>
      <c r="E14" s="7" t="s">
        <v>164</v>
      </c>
      <c r="F14" s="9"/>
    </row>
    <row r="15" customFormat="false" ht="27.75" hidden="false" customHeight="true" outlineLevel="0" collapsed="false">
      <c r="B15" s="4" t="n">
        <v>9</v>
      </c>
      <c r="C15" s="5" t="s">
        <v>165</v>
      </c>
      <c r="D15" s="4" t="s">
        <v>250</v>
      </c>
      <c r="E15" s="7" t="s">
        <v>169</v>
      </c>
      <c r="F15" s="9"/>
    </row>
    <row r="16" customFormat="false" ht="27.75" hidden="false" customHeight="true" outlineLevel="0" collapsed="false">
      <c r="B16" s="4" t="n">
        <v>10</v>
      </c>
      <c r="C16" s="5" t="s">
        <v>136</v>
      </c>
      <c r="D16" s="4" t="s">
        <v>251</v>
      </c>
      <c r="E16" s="7" t="s">
        <v>139</v>
      </c>
      <c r="F16" s="9"/>
    </row>
    <row r="17" customFormat="false" ht="27.75" hidden="false" customHeight="true" outlineLevel="0" collapsed="false">
      <c r="B17" s="4" t="n">
        <v>11</v>
      </c>
      <c r="C17" s="5" t="s">
        <v>154</v>
      </c>
      <c r="D17" s="4" t="s">
        <v>252</v>
      </c>
      <c r="E17" s="7" t="s">
        <v>157</v>
      </c>
      <c r="F17" s="9"/>
    </row>
    <row r="18" customFormat="false" ht="27.75" hidden="false" customHeight="true" outlineLevel="0" collapsed="false">
      <c r="B18" s="4" t="n">
        <v>12</v>
      </c>
      <c r="C18" s="5" t="s">
        <v>170</v>
      </c>
      <c r="D18" s="4" t="s">
        <v>173</v>
      </c>
      <c r="E18" s="7" t="s">
        <v>174</v>
      </c>
      <c r="F18" s="9"/>
    </row>
    <row r="19" customFormat="false" ht="27.75" hidden="false" customHeight="true" outlineLevel="0" collapsed="false">
      <c r="B19" s="4" t="n">
        <v>13</v>
      </c>
      <c r="C19" s="5" t="s">
        <v>144</v>
      </c>
      <c r="D19" s="4" t="s">
        <v>146</v>
      </c>
      <c r="E19" s="7" t="s">
        <v>147</v>
      </c>
      <c r="F19" s="9"/>
    </row>
    <row r="20" customFormat="false" ht="27.75" hidden="false" customHeight="true" outlineLevel="0" collapsed="false">
      <c r="B20" s="4" t="n">
        <v>14</v>
      </c>
      <c r="C20" s="5" t="s">
        <v>158</v>
      </c>
      <c r="D20" s="4" t="s">
        <v>252</v>
      </c>
      <c r="E20" s="7" t="s">
        <v>161</v>
      </c>
      <c r="F20" s="9"/>
    </row>
    <row r="21" customFormat="false" ht="27.75" hidden="false" customHeight="true" outlineLevel="0" collapsed="false">
      <c r="B21" s="4" t="n">
        <v>15</v>
      </c>
      <c r="C21" s="5" t="s">
        <v>186</v>
      </c>
      <c r="D21" s="4" t="s">
        <v>189</v>
      </c>
      <c r="E21" s="7" t="s">
        <v>190</v>
      </c>
      <c r="F2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52"/>
  </cols>
  <sheetData>
    <row r="2" customFormat="false" ht="18.55" hidden="false" customHeight="false" outlineLevel="0" collapsed="false">
      <c r="B2" s="1" t="s">
        <v>253</v>
      </c>
    </row>
    <row r="3" customFormat="false" ht="15" hidden="false" customHeight="false" outlineLevel="0" collapsed="false">
      <c r="B3" s="2" t="s">
        <v>254</v>
      </c>
    </row>
    <row r="6" customFormat="false" ht="36" hidden="false" customHeight="true" outlineLevel="0" collapsed="false">
      <c r="B6" s="3" t="s">
        <v>2</v>
      </c>
      <c r="C6" s="3" t="s">
        <v>3</v>
      </c>
      <c r="D6" s="3" t="s">
        <v>5</v>
      </c>
      <c r="E6" s="3" t="s">
        <v>4</v>
      </c>
      <c r="F6" s="3" t="s">
        <v>255</v>
      </c>
      <c r="G6" s="3" t="s">
        <v>256</v>
      </c>
    </row>
    <row r="7" customFormat="false" ht="15" hidden="false" customHeight="false" outlineLevel="0" collapsed="false">
      <c r="B7" s="4" t="n">
        <v>1</v>
      </c>
      <c r="C7" s="5" t="s">
        <v>257</v>
      </c>
      <c r="D7" s="5" t="s">
        <v>258</v>
      </c>
      <c r="E7" s="5" t="s">
        <v>259</v>
      </c>
      <c r="F7" s="8"/>
      <c r="G7" s="24"/>
    </row>
    <row r="8" customFormat="false" ht="15" hidden="false" customHeight="false" outlineLevel="0" collapsed="false">
      <c r="B8" s="4" t="n">
        <v>2</v>
      </c>
      <c r="C8" s="5" t="s">
        <v>260</v>
      </c>
      <c r="D8" s="5" t="s">
        <v>261</v>
      </c>
      <c r="E8" s="5" t="s">
        <v>259</v>
      </c>
      <c r="F8" s="8"/>
      <c r="G8" s="24"/>
    </row>
    <row r="9" customFormat="false" ht="15" hidden="false" customHeight="false" outlineLevel="0" collapsed="false">
      <c r="B9" s="4" t="n">
        <v>3</v>
      </c>
      <c r="C9" s="5" t="s">
        <v>262</v>
      </c>
      <c r="D9" s="5" t="s">
        <v>263</v>
      </c>
      <c r="E9" s="5" t="s">
        <v>21</v>
      </c>
      <c r="F9" s="8"/>
      <c r="G9" s="24"/>
    </row>
    <row r="10" customFormat="false" ht="15" hidden="false" customHeight="false" outlineLevel="0" collapsed="false">
      <c r="B10" s="4" t="n">
        <v>4</v>
      </c>
      <c r="C10" s="5" t="s">
        <v>264</v>
      </c>
      <c r="D10" s="5" t="s">
        <v>265</v>
      </c>
      <c r="E10" s="5" t="s">
        <v>266</v>
      </c>
      <c r="F10" s="8"/>
      <c r="G10" s="24" t="s">
        <v>267</v>
      </c>
    </row>
    <row r="11" customFormat="false" ht="15" hidden="false" customHeight="false" outlineLevel="0" collapsed="false">
      <c r="B11" s="4" t="n">
        <v>5</v>
      </c>
      <c r="C11" s="5" t="s">
        <v>268</v>
      </c>
      <c r="D11" s="5" t="s">
        <v>269</v>
      </c>
      <c r="E11" s="5" t="s">
        <v>270</v>
      </c>
      <c r="F11" s="8"/>
      <c r="G11" s="24"/>
    </row>
    <row r="12" customFormat="false" ht="15" hidden="false" customHeight="false" outlineLevel="0" collapsed="false">
      <c r="B12" s="4" t="n">
        <v>6</v>
      </c>
      <c r="C12" s="5" t="s">
        <v>271</v>
      </c>
      <c r="D12" s="5" t="s">
        <v>272</v>
      </c>
      <c r="E12" s="5" t="s">
        <v>21</v>
      </c>
      <c r="F12" s="8"/>
      <c r="G12" s="24"/>
    </row>
    <row r="13" customFormat="false" ht="15" hidden="false" customHeight="false" outlineLevel="0" collapsed="false">
      <c r="B13" s="4" t="n">
        <v>7</v>
      </c>
      <c r="C13" s="5" t="s">
        <v>273</v>
      </c>
      <c r="D13" s="5" t="s">
        <v>274</v>
      </c>
      <c r="E13" s="5" t="s">
        <v>21</v>
      </c>
      <c r="F13" s="8"/>
      <c r="G13" s="24" t="s">
        <v>275</v>
      </c>
    </row>
    <row r="14" customFormat="false" ht="15" hidden="false" customHeight="false" outlineLevel="0" collapsed="false">
      <c r="B14" s="4" t="n">
        <v>8</v>
      </c>
      <c r="C14" s="5" t="s">
        <v>276</v>
      </c>
      <c r="D14" s="5" t="s">
        <v>277</v>
      </c>
      <c r="E14" s="5" t="s">
        <v>229</v>
      </c>
      <c r="F14" s="8"/>
      <c r="G14" s="24"/>
    </row>
    <row r="15" customFormat="false" ht="15" hidden="false" customHeight="false" outlineLevel="0" collapsed="false">
      <c r="B15" s="4" t="n">
        <v>9</v>
      </c>
      <c r="C15" s="5" t="s">
        <v>278</v>
      </c>
      <c r="D15" s="5" t="s">
        <v>279</v>
      </c>
      <c r="E15" s="5" t="s">
        <v>112</v>
      </c>
      <c r="F15" s="8"/>
      <c r="G15" s="24"/>
    </row>
    <row r="16" customFormat="false" ht="15" hidden="false" customHeight="false" outlineLevel="0" collapsed="false">
      <c r="B16" s="4" t="n">
        <v>10</v>
      </c>
      <c r="C16" s="5" t="s">
        <v>280</v>
      </c>
      <c r="D16" s="5" t="s">
        <v>281</v>
      </c>
      <c r="E16" s="5" t="s">
        <v>282</v>
      </c>
      <c r="F16" s="8"/>
      <c r="G16" s="24"/>
    </row>
    <row r="17" customFormat="false" ht="15" hidden="false" customHeight="false" outlineLevel="0" collapsed="false">
      <c r="B17" s="4" t="n">
        <v>11</v>
      </c>
      <c r="C17" s="5" t="s">
        <v>283</v>
      </c>
      <c r="D17" s="5" t="s">
        <v>284</v>
      </c>
      <c r="E17" s="5" t="s">
        <v>21</v>
      </c>
      <c r="F17" s="8"/>
      <c r="G17" s="24" t="s">
        <v>275</v>
      </c>
    </row>
    <row r="18" customFormat="false" ht="15" hidden="false" customHeight="false" outlineLevel="0" collapsed="false">
      <c r="B18" s="4" t="n">
        <v>12</v>
      </c>
      <c r="C18" s="5" t="s">
        <v>285</v>
      </c>
      <c r="D18" s="5" t="s">
        <v>286</v>
      </c>
      <c r="E18" s="5" t="s">
        <v>287</v>
      </c>
      <c r="F18" s="8"/>
      <c r="G18" s="24"/>
    </row>
    <row r="19" customFormat="false" ht="15" hidden="false" customHeight="false" outlineLevel="0" collapsed="false">
      <c r="B19" s="4" t="n">
        <v>13</v>
      </c>
      <c r="C19" s="5" t="s">
        <v>288</v>
      </c>
      <c r="D19" s="5" t="s">
        <v>289</v>
      </c>
      <c r="E19" s="5" t="s">
        <v>21</v>
      </c>
      <c r="F19" s="8"/>
      <c r="G19" s="24"/>
    </row>
    <row r="20" customFormat="false" ht="15" hidden="false" customHeight="false" outlineLevel="0" collapsed="false">
      <c r="B20" s="4" t="n">
        <v>14</v>
      </c>
      <c r="C20" s="5" t="s">
        <v>290</v>
      </c>
      <c r="D20" s="5" t="s">
        <v>291</v>
      </c>
      <c r="E20" s="5" t="s">
        <v>21</v>
      </c>
      <c r="F20" s="8"/>
      <c r="G20" s="24" t="s">
        <v>275</v>
      </c>
    </row>
    <row r="21" customFormat="false" ht="15" hidden="false" customHeight="false" outlineLevel="0" collapsed="false">
      <c r="B21" s="4" t="n">
        <v>15</v>
      </c>
      <c r="C21" s="5" t="s">
        <v>292</v>
      </c>
      <c r="D21" s="5" t="s">
        <v>293</v>
      </c>
      <c r="E21" s="5" t="s">
        <v>294</v>
      </c>
      <c r="F21" s="8"/>
      <c r="G21" s="24"/>
    </row>
    <row r="22" customFormat="false" ht="15" hidden="false" customHeight="false" outlineLevel="0" collapsed="false">
      <c r="B22" s="4" t="n">
        <v>16</v>
      </c>
      <c r="C22" s="5" t="s">
        <v>295</v>
      </c>
      <c r="D22" s="5" t="s">
        <v>296</v>
      </c>
      <c r="E22" s="5" t="s">
        <v>21</v>
      </c>
      <c r="F22" s="8"/>
      <c r="G22" s="24"/>
    </row>
    <row r="23" customFormat="false" ht="15" hidden="false" customHeight="false" outlineLevel="0" collapsed="false">
      <c r="B23" s="4" t="n">
        <v>17</v>
      </c>
      <c r="C23" s="5" t="s">
        <v>297</v>
      </c>
      <c r="D23" s="5" t="s">
        <v>298</v>
      </c>
      <c r="E23" s="5" t="s">
        <v>21</v>
      </c>
      <c r="F23" s="8"/>
      <c r="G23" s="24"/>
    </row>
    <row r="24" customFormat="false" ht="15" hidden="false" customHeight="false" outlineLevel="0" collapsed="false">
      <c r="B24" s="4" t="n">
        <v>18</v>
      </c>
      <c r="C24" s="5" t="s">
        <v>299</v>
      </c>
      <c r="D24" s="5" t="s">
        <v>300</v>
      </c>
      <c r="E24" s="5" t="s">
        <v>104</v>
      </c>
      <c r="F24" s="8"/>
      <c r="G24" s="24"/>
    </row>
    <row r="25" customFormat="false" ht="15" hidden="false" customHeight="false" outlineLevel="0" collapsed="false">
      <c r="B25" s="4" t="n">
        <v>19</v>
      </c>
      <c r="C25" s="5" t="s">
        <v>301</v>
      </c>
      <c r="D25" s="5" t="s">
        <v>302</v>
      </c>
      <c r="E25" s="5" t="s">
        <v>266</v>
      </c>
      <c r="F25" s="8"/>
      <c r="G25" s="24"/>
    </row>
    <row r="26" customFormat="false" ht="15" hidden="false" customHeight="false" outlineLevel="0" collapsed="false">
      <c r="B26" s="4" t="n">
        <v>20</v>
      </c>
      <c r="C26" s="5" t="s">
        <v>303</v>
      </c>
      <c r="D26" s="5" t="s">
        <v>304</v>
      </c>
      <c r="E26" s="5" t="s">
        <v>21</v>
      </c>
      <c r="F26" s="8"/>
      <c r="G26" s="24" t="s">
        <v>275</v>
      </c>
    </row>
    <row r="27" customFormat="false" ht="15" hidden="false" customHeight="false" outlineLevel="0" collapsed="false">
      <c r="B27" s="4" t="n">
        <v>21</v>
      </c>
      <c r="C27" s="5" t="s">
        <v>305</v>
      </c>
      <c r="D27" s="5" t="s">
        <v>306</v>
      </c>
      <c r="E27" s="5" t="s">
        <v>307</v>
      </c>
      <c r="F27" s="8"/>
      <c r="G27" s="24" t="s">
        <v>275</v>
      </c>
    </row>
    <row r="28" customFormat="false" ht="15" hidden="false" customHeight="false" outlineLevel="0" collapsed="false">
      <c r="B28" s="4" t="n">
        <v>22</v>
      </c>
      <c r="C28" s="5" t="s">
        <v>308</v>
      </c>
      <c r="D28" s="5" t="s">
        <v>309</v>
      </c>
      <c r="E28" s="5" t="s">
        <v>310</v>
      </c>
      <c r="F28" s="8"/>
      <c r="G28" s="24" t="s">
        <v>311</v>
      </c>
    </row>
    <row r="29" customFormat="false" ht="15" hidden="false" customHeight="false" outlineLevel="0" collapsed="false">
      <c r="B29" s="4" t="n">
        <v>23</v>
      </c>
      <c r="C29" s="5" t="s">
        <v>312</v>
      </c>
      <c r="D29" s="5" t="s">
        <v>313</v>
      </c>
      <c r="E29" s="5" t="s">
        <v>314</v>
      </c>
      <c r="F29" s="8"/>
      <c r="G29" s="24"/>
    </row>
    <row r="30" customFormat="false" ht="15" hidden="false" customHeight="false" outlineLevel="0" collapsed="false">
      <c r="B30" s="4" t="n">
        <v>24</v>
      </c>
      <c r="C30" s="5" t="s">
        <v>315</v>
      </c>
      <c r="D30" s="5" t="s">
        <v>316</v>
      </c>
      <c r="E30" s="5" t="s">
        <v>317</v>
      </c>
      <c r="F30" s="8"/>
      <c r="G30" s="24" t="s">
        <v>318</v>
      </c>
    </row>
    <row r="31" customFormat="false" ht="15" hidden="false" customHeight="false" outlineLevel="0" collapsed="false">
      <c r="B31" s="4" t="n">
        <v>25</v>
      </c>
      <c r="C31" s="5" t="s">
        <v>319</v>
      </c>
      <c r="D31" s="5" t="s">
        <v>320</v>
      </c>
      <c r="E31" s="5" t="s">
        <v>108</v>
      </c>
      <c r="F31" s="8"/>
      <c r="G31" s="24" t="s">
        <v>321</v>
      </c>
    </row>
    <row r="32" customFormat="false" ht="15" hidden="false" customHeight="false" outlineLevel="0" collapsed="false">
      <c r="B32" s="4" t="n">
        <v>26</v>
      </c>
      <c r="C32" s="5" t="s">
        <v>322</v>
      </c>
      <c r="D32" s="5"/>
      <c r="E32" s="5"/>
      <c r="F32" s="8"/>
      <c r="G32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6" min="5" style="0" width="22"/>
  </cols>
  <sheetData>
    <row r="2" customFormat="false" ht="18.55" hidden="false" customHeight="false" outlineLevel="0" collapsed="false">
      <c r="B2" s="1" t="s">
        <v>323</v>
      </c>
    </row>
    <row r="3" customFormat="false" ht="15" hidden="false" customHeight="false" outlineLevel="0" collapsed="false">
      <c r="B3" s="2" t="s">
        <v>324</v>
      </c>
    </row>
    <row r="6" customFormat="false" ht="36" hidden="false" customHeight="true" outlineLevel="0" collapsed="false">
      <c r="B6" s="3" t="s">
        <v>2</v>
      </c>
      <c r="C6" s="3" t="s">
        <v>325</v>
      </c>
      <c r="D6" s="3" t="s">
        <v>4</v>
      </c>
      <c r="E6" s="3" t="s">
        <v>326</v>
      </c>
      <c r="F6" s="3" t="s">
        <v>327</v>
      </c>
    </row>
    <row r="7" customFormat="false" ht="15" hidden="false" customHeight="false" outlineLevel="0" collapsed="false">
      <c r="B7" s="4" t="n">
        <v>1</v>
      </c>
      <c r="C7" s="25" t="s">
        <v>328</v>
      </c>
      <c r="D7" s="5" t="s">
        <v>21</v>
      </c>
      <c r="E7" s="4" t="s">
        <v>329</v>
      </c>
      <c r="F7" s="4" t="n">
        <v>24</v>
      </c>
    </row>
    <row r="8" customFormat="false" ht="15" hidden="false" customHeight="false" outlineLevel="0" collapsed="false">
      <c r="B8" s="4" t="n">
        <v>2</v>
      </c>
      <c r="C8" s="25" t="s">
        <v>330</v>
      </c>
      <c r="D8" s="5" t="s">
        <v>187</v>
      </c>
      <c r="E8" s="4" t="s">
        <v>331</v>
      </c>
      <c r="F8" s="4" t="n">
        <v>64</v>
      </c>
    </row>
    <row r="9" customFormat="false" ht="15" hidden="false" customHeight="false" outlineLevel="0" collapsed="false">
      <c r="B9" s="4" t="n">
        <v>3</v>
      </c>
      <c r="C9" s="25" t="s">
        <v>332</v>
      </c>
      <c r="D9" s="5" t="s">
        <v>116</v>
      </c>
      <c r="E9" s="4"/>
      <c r="F9" s="4" t="n">
        <v>12</v>
      </c>
    </row>
    <row r="10" customFormat="false" ht="15" hidden="false" customHeight="false" outlineLevel="0" collapsed="false">
      <c r="B10" s="4" t="n">
        <v>4</v>
      </c>
      <c r="C10" s="25" t="s">
        <v>333</v>
      </c>
      <c r="D10" s="5" t="s">
        <v>21</v>
      </c>
      <c r="E10" s="4" t="s">
        <v>334</v>
      </c>
      <c r="F10" s="4" t="n">
        <v>20</v>
      </c>
    </row>
    <row r="11" customFormat="false" ht="15" hidden="false" customHeight="false" outlineLevel="0" collapsed="false">
      <c r="B11" s="4" t="n">
        <v>5</v>
      </c>
      <c r="C11" s="25" t="s">
        <v>335</v>
      </c>
      <c r="D11" s="5" t="s">
        <v>336</v>
      </c>
      <c r="E11" s="4" t="s">
        <v>337</v>
      </c>
      <c r="F11" s="4" t="n">
        <v>20</v>
      </c>
    </row>
    <row r="12" customFormat="false" ht="15" hidden="false" customHeight="false" outlineLevel="0" collapsed="false">
      <c r="B12" s="4" t="n">
        <v>6</v>
      </c>
      <c r="C12" s="25" t="s">
        <v>338</v>
      </c>
      <c r="D12" s="5" t="s">
        <v>339</v>
      </c>
      <c r="E12" s="4" t="s">
        <v>340</v>
      </c>
      <c r="F12" s="4" t="n">
        <v>16</v>
      </c>
    </row>
    <row r="13" customFormat="false" ht="15" hidden="false" customHeight="false" outlineLevel="0" collapsed="false">
      <c r="B13" s="4" t="n">
        <v>7</v>
      </c>
      <c r="C13" s="25" t="s">
        <v>341</v>
      </c>
      <c r="D13" s="5" t="s">
        <v>287</v>
      </c>
      <c r="E13" s="4" t="s">
        <v>342</v>
      </c>
      <c r="F13" s="4" t="n">
        <v>15</v>
      </c>
    </row>
    <row r="14" customFormat="false" ht="15" hidden="false" customHeight="false" outlineLevel="0" collapsed="false">
      <c r="B14" s="4" t="n">
        <v>8</v>
      </c>
      <c r="C14" s="25" t="s">
        <v>343</v>
      </c>
      <c r="D14" s="5" t="s">
        <v>21</v>
      </c>
      <c r="E14" s="4" t="s">
        <v>344</v>
      </c>
      <c r="F14" s="4" t="n">
        <v>22</v>
      </c>
    </row>
    <row r="15" customFormat="false" ht="15" hidden="false" customHeight="false" outlineLevel="0" collapsed="false">
      <c r="B15" s="4" t="n">
        <v>9</v>
      </c>
      <c r="C15" s="25" t="s">
        <v>345</v>
      </c>
      <c r="D15" s="5" t="s">
        <v>346</v>
      </c>
      <c r="E15" s="4" t="s">
        <v>347</v>
      </c>
      <c r="F15" s="4" t="n">
        <v>160</v>
      </c>
    </row>
    <row r="16" customFormat="false" ht="15" hidden="false" customHeight="false" outlineLevel="0" collapsed="false">
      <c r="B16" s="4" t="n">
        <v>10</v>
      </c>
      <c r="C16" s="25" t="s">
        <v>348</v>
      </c>
      <c r="D16" s="5" t="s">
        <v>349</v>
      </c>
      <c r="E16" s="4" t="s">
        <v>156</v>
      </c>
      <c r="F16" s="4" t="n">
        <v>120</v>
      </c>
    </row>
    <row r="17" customFormat="false" ht="15" hidden="false" customHeight="false" outlineLevel="0" collapsed="false">
      <c r="B17" s="4" t="n">
        <v>11</v>
      </c>
      <c r="C17" s="25" t="s">
        <v>350</v>
      </c>
      <c r="D17" s="5" t="s">
        <v>120</v>
      </c>
      <c r="E17" s="4"/>
      <c r="F17" s="4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</cols>
  <sheetData>
    <row r="2" customFormat="false" ht="18.55" hidden="false" customHeight="false" outlineLevel="0" collapsed="false">
      <c r="B2" s="1" t="s">
        <v>351</v>
      </c>
    </row>
    <row r="3" customFormat="false" ht="15" hidden="false" customHeight="false" outlineLevel="0" collapsed="false">
      <c r="B3" s="2" t="s">
        <v>352</v>
      </c>
    </row>
    <row r="5" customFormat="false" ht="15" hidden="false" customHeight="false" outlineLevel="0" collapsed="false">
      <c r="B5" s="26" t="s">
        <v>353</v>
      </c>
      <c r="C5" s="26"/>
      <c r="D5" s="26"/>
      <c r="E5" s="26"/>
      <c r="F5" s="26"/>
      <c r="G5" s="26"/>
      <c r="H5" s="26"/>
      <c r="I5" s="26"/>
    </row>
    <row r="6" customFormat="false" ht="15" hidden="false" customHeight="true" outlineLevel="0" collapsed="false">
      <c r="B6" s="27" t="s">
        <v>354</v>
      </c>
      <c r="C6" s="27"/>
      <c r="D6" s="27"/>
      <c r="E6" s="27"/>
      <c r="F6" s="27"/>
      <c r="G6" s="27"/>
      <c r="H6" s="27"/>
      <c r="I6" s="27"/>
    </row>
    <row r="7" customFormat="false" ht="15" hidden="false" customHeight="true" outlineLevel="0" collapsed="false">
      <c r="B7" s="27"/>
      <c r="C7" s="27"/>
      <c r="D7" s="27"/>
      <c r="E7" s="27"/>
      <c r="F7" s="27"/>
      <c r="G7" s="27"/>
      <c r="H7" s="27"/>
      <c r="I7" s="27"/>
    </row>
    <row r="8" customFormat="false" ht="15" hidden="false" customHeight="true" outlineLevel="0" collapsed="false">
      <c r="B8" s="27" t="s">
        <v>355</v>
      </c>
      <c r="C8" s="27"/>
      <c r="D8" s="27"/>
      <c r="E8" s="27"/>
      <c r="F8" s="27"/>
      <c r="G8" s="27"/>
      <c r="H8" s="27"/>
      <c r="I8" s="27"/>
    </row>
    <row r="9" customFormat="false" ht="15" hidden="false" customHeight="true" outlineLevel="0" collapsed="false">
      <c r="B9" s="27"/>
      <c r="C9" s="27"/>
      <c r="D9" s="27"/>
      <c r="E9" s="27"/>
      <c r="F9" s="27"/>
      <c r="G9" s="27"/>
      <c r="H9" s="27"/>
      <c r="I9" s="27"/>
    </row>
    <row r="11" customFormat="false" ht="15" hidden="false" customHeight="false" outlineLevel="0" collapsed="false">
      <c r="B11" s="26" t="s">
        <v>356</v>
      </c>
      <c r="C11" s="26"/>
      <c r="D11" s="26"/>
      <c r="E11" s="26"/>
      <c r="F11" s="26"/>
      <c r="G11" s="26"/>
      <c r="H11" s="26"/>
      <c r="I11" s="26"/>
    </row>
    <row r="12" customFormat="false" ht="15" hidden="false" customHeight="true" outlineLevel="0" collapsed="false">
      <c r="B12" s="27" t="s">
        <v>357</v>
      </c>
      <c r="C12" s="27"/>
      <c r="D12" s="27"/>
      <c r="E12" s="27"/>
      <c r="F12" s="27"/>
      <c r="G12" s="27"/>
      <c r="H12" s="27"/>
      <c r="I12" s="27"/>
    </row>
    <row r="13" customFormat="false" ht="15" hidden="false" customHeight="true" outlineLevel="0" collapsed="false">
      <c r="B13" s="27"/>
      <c r="C13" s="27"/>
      <c r="D13" s="27"/>
      <c r="E13" s="27"/>
      <c r="F13" s="27"/>
      <c r="G13" s="27"/>
      <c r="H13" s="27"/>
      <c r="I13" s="27"/>
    </row>
    <row r="14" customFormat="false" ht="15" hidden="false" customHeight="true" outlineLevel="0" collapsed="false">
      <c r="B14" s="27" t="s">
        <v>358</v>
      </c>
      <c r="C14" s="27"/>
      <c r="D14" s="27"/>
      <c r="E14" s="27"/>
      <c r="F14" s="27"/>
      <c r="G14" s="27"/>
      <c r="H14" s="27"/>
      <c r="I14" s="27"/>
    </row>
    <row r="15" customFormat="false" ht="15" hidden="false" customHeight="true" outlineLevel="0" collapsed="false">
      <c r="B15" s="27"/>
      <c r="C15" s="27"/>
      <c r="D15" s="27"/>
      <c r="E15" s="27"/>
      <c r="F15" s="27"/>
      <c r="G15" s="27"/>
      <c r="H15" s="27"/>
      <c r="I15" s="27"/>
    </row>
    <row r="16" customFormat="false" ht="15" hidden="false" customHeight="true" outlineLevel="0" collapsed="false">
      <c r="B16" s="27" t="s">
        <v>359</v>
      </c>
      <c r="C16" s="27"/>
      <c r="D16" s="27"/>
      <c r="E16" s="27"/>
      <c r="F16" s="27"/>
      <c r="G16" s="27"/>
      <c r="H16" s="27"/>
      <c r="I16" s="27"/>
    </row>
    <row r="17" customFormat="false" ht="15" hidden="false" customHeight="true" outlineLevel="0" collapsed="false">
      <c r="B17" s="27"/>
      <c r="C17" s="27"/>
      <c r="D17" s="27"/>
      <c r="E17" s="27"/>
      <c r="F17" s="27"/>
      <c r="G17" s="27"/>
      <c r="H17" s="27"/>
      <c r="I17" s="27"/>
    </row>
    <row r="19" customFormat="false" ht="15" hidden="false" customHeight="false" outlineLevel="0" collapsed="false">
      <c r="B19" s="26" t="s">
        <v>360</v>
      </c>
      <c r="C19" s="26"/>
      <c r="D19" s="26"/>
      <c r="E19" s="26"/>
      <c r="F19" s="26"/>
      <c r="G19" s="26"/>
      <c r="H19" s="26"/>
      <c r="I19" s="26"/>
    </row>
    <row r="20" customFormat="false" ht="15" hidden="false" customHeight="true" outlineLevel="0" collapsed="false">
      <c r="B20" s="27" t="s">
        <v>361</v>
      </c>
      <c r="C20" s="27"/>
      <c r="D20" s="27"/>
      <c r="E20" s="27"/>
      <c r="F20" s="27"/>
      <c r="G20" s="27"/>
      <c r="H20" s="27"/>
      <c r="I20" s="27"/>
    </row>
    <row r="21" customFormat="false" ht="15" hidden="false" customHeight="true" outlineLevel="0" collapsed="false">
      <c r="B21" s="27"/>
      <c r="C21" s="27"/>
      <c r="D21" s="27"/>
      <c r="E21" s="27"/>
      <c r="F21" s="27"/>
      <c r="G21" s="27"/>
      <c r="H21" s="27"/>
      <c r="I21" s="27"/>
    </row>
    <row r="23" customFormat="false" ht="15" hidden="false" customHeight="false" outlineLevel="0" collapsed="false">
      <c r="B23" s="26" t="s">
        <v>362</v>
      </c>
      <c r="C23" s="26"/>
      <c r="D23" s="26"/>
      <c r="E23" s="26"/>
      <c r="F23" s="26"/>
      <c r="G23" s="26"/>
      <c r="H23" s="26"/>
      <c r="I23" s="26"/>
    </row>
    <row r="24" customFormat="false" ht="15" hidden="false" customHeight="true" outlineLevel="0" collapsed="false">
      <c r="B24" s="27" t="s">
        <v>363</v>
      </c>
      <c r="C24" s="27"/>
      <c r="D24" s="27"/>
      <c r="E24" s="27"/>
      <c r="F24" s="27"/>
      <c r="G24" s="27"/>
      <c r="H24" s="27"/>
      <c r="I24" s="27"/>
    </row>
    <row r="25" customFormat="false" ht="15" hidden="false" customHeight="true" outlineLevel="0" collapsed="false">
      <c r="B25" s="27"/>
      <c r="C25" s="27"/>
      <c r="D25" s="27"/>
      <c r="E25" s="27"/>
      <c r="F25" s="27"/>
      <c r="G25" s="27"/>
      <c r="H25" s="27"/>
      <c r="I25" s="27"/>
    </row>
    <row r="26" customFormat="false" ht="15" hidden="false" customHeight="true" outlineLevel="0" collapsed="false">
      <c r="B26" s="27" t="s">
        <v>364</v>
      </c>
      <c r="C26" s="27"/>
      <c r="D26" s="27"/>
      <c r="E26" s="27"/>
      <c r="F26" s="27"/>
      <c r="G26" s="27"/>
      <c r="H26" s="27"/>
      <c r="I26" s="27"/>
    </row>
    <row r="27" customFormat="false" ht="15" hidden="false" customHeight="true" outlineLevel="0" collapsed="false">
      <c r="B27" s="27"/>
      <c r="C27" s="27"/>
      <c r="D27" s="27"/>
      <c r="E27" s="27"/>
      <c r="F27" s="27"/>
      <c r="G27" s="27"/>
      <c r="H27" s="27"/>
      <c r="I27" s="27"/>
    </row>
    <row r="29" customFormat="false" ht="15" hidden="false" customHeight="false" outlineLevel="0" collapsed="false">
      <c r="B29" s="26" t="s">
        <v>365</v>
      </c>
      <c r="C29" s="26"/>
      <c r="D29" s="26"/>
      <c r="E29" s="26"/>
      <c r="F29" s="26"/>
      <c r="G29" s="26"/>
      <c r="H29" s="26"/>
      <c r="I29" s="26"/>
    </row>
    <row r="30" customFormat="false" ht="15" hidden="false" customHeight="true" outlineLevel="0" collapsed="false">
      <c r="B30" s="27" t="s">
        <v>366</v>
      </c>
      <c r="C30" s="27"/>
      <c r="D30" s="27"/>
      <c r="E30" s="27"/>
      <c r="F30" s="27"/>
      <c r="G30" s="27"/>
      <c r="H30" s="27"/>
      <c r="I30" s="27"/>
    </row>
    <row r="31" customFormat="false" ht="15" hidden="false" customHeight="true" outlineLevel="0" collapsed="false">
      <c r="B31" s="27"/>
      <c r="C31" s="27"/>
      <c r="D31" s="27"/>
      <c r="E31" s="27"/>
      <c r="F31" s="27"/>
      <c r="G31" s="27"/>
      <c r="H31" s="27"/>
      <c r="I31" s="27"/>
    </row>
    <row r="33" customFormat="false" ht="15" hidden="false" customHeight="false" outlineLevel="0" collapsed="false">
      <c r="B33" s="26" t="s">
        <v>367</v>
      </c>
      <c r="C33" s="26"/>
      <c r="D33" s="26"/>
      <c r="E33" s="26"/>
      <c r="F33" s="26"/>
      <c r="G33" s="26"/>
      <c r="H33" s="26"/>
      <c r="I33" s="26"/>
    </row>
    <row r="34" customFormat="false" ht="15" hidden="false" customHeight="true" outlineLevel="0" collapsed="false">
      <c r="B34" s="27" t="s">
        <v>368</v>
      </c>
      <c r="C34" s="27"/>
      <c r="D34" s="27"/>
      <c r="E34" s="27"/>
      <c r="F34" s="27"/>
      <c r="G34" s="27"/>
      <c r="H34" s="27"/>
      <c r="I34" s="27"/>
    </row>
    <row r="35" customFormat="false" ht="15" hidden="false" customHeight="true" outlineLevel="0" collapsed="false">
      <c r="B35" s="27"/>
      <c r="C35" s="27"/>
      <c r="D35" s="27"/>
      <c r="E35" s="27"/>
      <c r="F35" s="27"/>
      <c r="G35" s="27"/>
      <c r="H35" s="27"/>
      <c r="I35" s="27"/>
    </row>
  </sheetData>
  <mergeCells count="16">
    <mergeCell ref="B5:I5"/>
    <mergeCell ref="B6:I7"/>
    <mergeCell ref="B8:I9"/>
    <mergeCell ref="B11:I11"/>
    <mergeCell ref="B12:I13"/>
    <mergeCell ref="B14:I15"/>
    <mergeCell ref="B16:I17"/>
    <mergeCell ref="B19:I19"/>
    <mergeCell ref="B20:I21"/>
    <mergeCell ref="B23:I23"/>
    <mergeCell ref="B24:I25"/>
    <mergeCell ref="B26:I27"/>
    <mergeCell ref="B29:I29"/>
    <mergeCell ref="B30:I31"/>
    <mergeCell ref="B33:I33"/>
    <mergeCell ref="B34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2" customFormat="false" ht="18.55" hidden="false" customHeight="false" outlineLevel="0" collapsed="false">
      <c r="B2" s="1" t="s">
        <v>369</v>
      </c>
    </row>
    <row r="3" customFormat="false" ht="15" hidden="false" customHeight="false" outlineLevel="0" collapsed="false">
      <c r="B3" s="2" t="s">
        <v>370</v>
      </c>
    </row>
    <row r="6" customFormat="false" ht="36" hidden="false" customHeight="true" outlineLevel="0" collapsed="false">
      <c r="B6" s="3" t="s">
        <v>17</v>
      </c>
      <c r="C6" s="3" t="s">
        <v>371</v>
      </c>
      <c r="D6" s="3" t="s">
        <v>372</v>
      </c>
      <c r="E6" s="3" t="s">
        <v>12</v>
      </c>
    </row>
    <row r="7" customFormat="false" ht="15" hidden="false" customHeight="false" outlineLevel="0" collapsed="false">
      <c r="B7" s="28" t="s">
        <v>373</v>
      </c>
      <c r="C7" s="9" t="n">
        <v>30</v>
      </c>
      <c r="D7" s="29" t="n">
        <v>298</v>
      </c>
      <c r="E7" s="30" t="s">
        <v>374</v>
      </c>
    </row>
    <row r="8" customFormat="false" ht="15" hidden="false" customHeight="false" outlineLevel="0" collapsed="false">
      <c r="B8" s="28" t="s">
        <v>375</v>
      </c>
      <c r="C8" s="9" t="n">
        <v>60</v>
      </c>
      <c r="D8" s="29" t="n">
        <v>9.9</v>
      </c>
      <c r="E8" s="30" t="s">
        <v>376</v>
      </c>
    </row>
    <row r="9" customFormat="false" ht="15" hidden="false" customHeight="false" outlineLevel="0" collapsed="false">
      <c r="B9" s="28" t="s">
        <v>377</v>
      </c>
      <c r="C9" s="9" t="n">
        <v>120</v>
      </c>
      <c r="D9" s="29" t="n">
        <v>8.9</v>
      </c>
      <c r="E9" s="30" t="s">
        <v>378</v>
      </c>
    </row>
    <row r="10" customFormat="false" ht="15" hidden="false" customHeight="false" outlineLevel="0" collapsed="false">
      <c r="B10" s="28" t="s">
        <v>379</v>
      </c>
      <c r="C10" s="31" t="s">
        <v>380</v>
      </c>
      <c r="D10" s="29" t="n">
        <v>11.9</v>
      </c>
      <c r="E10" s="30" t="s">
        <v>381</v>
      </c>
    </row>
    <row r="12" customFormat="false" ht="15" hidden="false" customHeight="false" outlineLevel="0" collapsed="false">
      <c r="B12" s="32" t="s">
        <v>382</v>
      </c>
      <c r="D12" s="33" t="n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2026-09-02T17:36:54Z</dcterms:created>
  <dc:creator>openpyxl</dc:creator>
  <dc:description/>
  <dc:language>en-US</dc:language>
  <cp:lastModifiedBy/>
  <dcterms:modified xsi:type="dcterms:W3CDTF">2026-09-02T17:36:54Z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