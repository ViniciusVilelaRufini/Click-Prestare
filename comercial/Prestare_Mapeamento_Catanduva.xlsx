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preencher" sheetId="1" state="visible" r:id="rId3"/>
    <sheet name="Preço" sheetId="2" state="visible" r:id="rId4"/>
    <sheet name="Bairros" sheetId="3" state="visible" r:id="rId5"/>
    <sheet name="Mapeamento" sheetId="4" state="visible" r:id="rId6"/>
    <sheet name="Clientes atua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<sst xmlns="http://schemas.openxmlformats.org/spreadsheetml/2006/main" count="137" uniqueCount="128">
  <si>
    <t xml:space="preserve">Mapeamento de condomínios verticais — Catanduva/SP</t>
  </si>
  <si>
    <t xml:space="preserve">Esta planilha é uma ferramenta de campo, não uma lista pronta.</t>
  </si>
  <si>
    <t xml:space="preserve">AVISO IMPORTANTE</t>
  </si>
  <si>
    <t xml:space="preserve">Não existe lista pública, oficial e completa dos condomínios verticais de Catanduva. Nem a prefeitura publica esse cadastro. Por isso esta planilha vem com a ESTRUTURA e o MÉTODO, e não com nomes de prédios inventados — uma lista fabricada faria você perder semanas ligando para endereços que não existem.</t>
  </si>
  <si>
    <t xml:space="preserve">COMO LEVANTAR A LISTA — em ordem de retorno</t>
  </si>
  <si>
    <t xml:space="preserve">1. Google Maps, bairro por bairro (a fonte principal). Abra o Maps, digite "edifício" ou "residencial" e navegue por cada bairro da aba Bairros. Use a visão de satélite: prédio se identifica de cima na hora. Anote nome e endereço. Uma tarde cobre o Centro e a Higienópolis, que concentram os verticais.</t>
  </si>
  <si>
    <t xml:space="preserve">2. Portais imobiliários. Procure apartamentos à venda em Catanduva no OLX, Viva Real, Imovelweb e nas imobiliárias locais. Cada anúncio traz o nome do edifício e quase sempre o valor do condomínio — que é um bom indício do porte do prédio.</t>
  </si>
  <si>
    <t xml:space="preserve">3. Cartório de Registro de Imóveis da comarca. Condomínio edilício tem convenção registrada. É a fonte mais completa que existe, e a consulta é pública (pode haver custo por certidão).</t>
  </si>
  <si>
    <t xml:space="preserve">4. Corpo de Bombeiros / AVCB. Edifício com mais de determinada altura precisa de AVCB. A consulta pública do Corpo de Bombeiros lista edificações com projeto aprovado.</t>
  </si>
  <si>
    <t xml:space="preserve">5. Prefeitura — Setor de Tributos / IPTU e Obras. Nem sempre liberam, mas vale pedir a relação de edificações multifamiliares. Se não liberarem a lista, muitas vezes confirmam caso a caso.</t>
  </si>
  <si>
    <t xml:space="preserve">6. Porteiros e zeladores. Porteiro conhece o prédio da esquina e o nome do síndico de lá. É a forma mais rápida de conseguir contato, e a única que já entrega o telefone.</t>
  </si>
  <si>
    <t xml:space="preserve">7. Fornecedores locais. Empresa de elevador, dedetizadora e jardineiro têm a lista inteira na cabeça. Vale trocar: você indica eles na sua rede, eles te apresentam os síndicos.</t>
  </si>
  <si>
    <t xml:space="preserve">COMO USAR A ABA MAPEAMENTO</t>
  </si>
  <si>
    <t xml:space="preserve">Preencha as colunas amarelas. Assim que você digitar o número de unidades, a faixa, a mensalidade e a receita anual aparecem sozinhas, calculadas pela tabela de zonas da aba Preço.</t>
  </si>
  <si>
    <t xml:space="preserve">A coluna Status tem lista suspensa com as 8 etapas do funil — use sempre a mesma nomenclatura para conseguir filtrar depois.</t>
  </si>
  <si>
    <t xml:space="preserve">Marque na aba Bairros cada bairro já varrido, para não repetir trabalho nem esquecer nenhum.</t>
  </si>
  <si>
    <t xml:space="preserve">Os 15 condomínios que já são seus clientes estão na aba Clientes atuais — não os coloque no mapeamento para não prospectar quem você já atende.</t>
  </si>
  <si>
    <t xml:space="preserve">META SUGERIDA</t>
  </si>
  <si>
    <t xml:space="preserve">40 condomínios mapeados por mês. Comece pelo Centro e pela Higienópolis: em cidade do porte de Catanduva, os prédios de 40 a 120 unidades — a sua faixa mais atrativa de preço — se concentram nessas regiões.</t>
  </si>
  <si>
    <t xml:space="preserve">Tabela de preço por zonas</t>
  </si>
  <si>
    <t xml:space="preserve">Mesma tabela da planilha de preços. Edite só o amarelo.</t>
  </si>
  <si>
    <t xml:space="preserve">Faixa</t>
  </si>
  <si>
    <t xml:space="preserve">Limite superior</t>
  </si>
  <si>
    <t xml:space="preserve">Valor</t>
  </si>
  <si>
    <t xml:space="preserve">Unidades</t>
  </si>
  <si>
    <t xml:space="preserve">Compacto</t>
  </si>
  <si>
    <t xml:space="preserve">Até 30 unidades</t>
  </si>
  <si>
    <t xml:space="preserve">Padrão</t>
  </si>
  <si>
    <t xml:space="preserve">Da 31ª à 60ª</t>
  </si>
  <si>
    <t xml:space="preserve">Plus</t>
  </si>
  <si>
    <t xml:space="preserve">Da 61ª à 120ª</t>
  </si>
  <si>
    <t xml:space="preserve">Corporativo</t>
  </si>
  <si>
    <t xml:space="preserve">—</t>
  </si>
  <si>
    <t xml:space="preserve">Acima da 120ª</t>
  </si>
  <si>
    <t xml:space="preserve">Taxa de implantação (única)</t>
  </si>
  <si>
    <t xml:space="preserve">Bairros de Catanduva — controle da varredura</t>
  </si>
  <si>
    <t xml:space="preserve">Marque cada bairro conforme for varrendo no Google Maps. Fonte da lista: GuiaMais (guiamais.com.br/bairros/catanduva-sp).</t>
  </si>
  <si>
    <t xml:space="preserve">#</t>
  </si>
  <si>
    <t xml:space="preserve">Bairro</t>
  </si>
  <si>
    <t xml:space="preserve">Varrido?</t>
  </si>
  <si>
    <t xml:space="preserve">Prédios encontrados</t>
  </si>
  <si>
    <t xml:space="preserve">Data</t>
  </si>
  <si>
    <t xml:space="preserve">Observações</t>
  </si>
  <si>
    <t xml:space="preserve">Centro</t>
  </si>
  <si>
    <t xml:space="preserve">Cohab Euclides Figueiredo</t>
  </si>
  <si>
    <t xml:space="preserve">Conjunto Esportivo</t>
  </si>
  <si>
    <t xml:space="preserve">Conjunto G Mestrinelli</t>
  </si>
  <si>
    <t xml:space="preserve">Distrito Industrial Antônio Bozo</t>
  </si>
  <si>
    <t xml:space="preserve">Higienópolis</t>
  </si>
  <si>
    <t xml:space="preserve">Jardim Amêndola</t>
  </si>
  <si>
    <t xml:space="preserve">Jardim Bela Vista</t>
  </si>
  <si>
    <t xml:space="preserve">Jardim Belém</t>
  </si>
  <si>
    <t xml:space="preserve">Jardim Bom Pastor</t>
  </si>
  <si>
    <t xml:space="preserve">Jardim Bosque</t>
  </si>
  <si>
    <t xml:space="preserve">Jardim Brasil</t>
  </si>
  <si>
    <t xml:space="preserve">Jardim Caparroz</t>
  </si>
  <si>
    <t xml:space="preserve">Jardim Imperial</t>
  </si>
  <si>
    <t xml:space="preserve">Jardim São Francisco</t>
  </si>
  <si>
    <t xml:space="preserve">Jardim Santa Helena</t>
  </si>
  <si>
    <t xml:space="preserve">Jardim Santa Rosa</t>
  </si>
  <si>
    <t xml:space="preserve">Jardim Soto</t>
  </si>
  <si>
    <t xml:space="preserve">Loteamento Cerradinho</t>
  </si>
  <si>
    <t xml:space="preserve">Loteamento Cidade Jardim</t>
  </si>
  <si>
    <t xml:space="preserve">Loteamento Solo Sagrado</t>
  </si>
  <si>
    <t xml:space="preserve">Parque Flamingo</t>
  </si>
  <si>
    <t xml:space="preserve">Parque Glória I</t>
  </si>
  <si>
    <t xml:space="preserve">Parque Glória II</t>
  </si>
  <si>
    <t xml:space="preserve">Parque Ipiranga</t>
  </si>
  <si>
    <t xml:space="preserve">Parque Iracema</t>
  </si>
  <si>
    <t xml:space="preserve">Parque João Amendola</t>
  </si>
  <si>
    <t xml:space="preserve">Parque Joaquim Lopes</t>
  </si>
  <si>
    <t xml:space="preserve">Polo Giordano Mestrinelli</t>
  </si>
  <si>
    <t xml:space="preserve">Residencial Comunidade Pedro Monteleone</t>
  </si>
  <si>
    <t xml:space="preserve">Residencial Diofen Martani</t>
  </si>
  <si>
    <t xml:space="preserve">São Francisco</t>
  </si>
  <si>
    <t xml:space="preserve">Vila Alexandria</t>
  </si>
  <si>
    <t xml:space="preserve">Vila Bela</t>
  </si>
  <si>
    <t xml:space="preserve">Vila Celso Mauad</t>
  </si>
  <si>
    <t xml:space="preserve">Vila Guzzo</t>
  </si>
  <si>
    <t xml:space="preserve">Vila Jorge</t>
  </si>
  <si>
    <t xml:space="preserve">Vila Juca Pedro</t>
  </si>
  <si>
    <t xml:space="preserve">Vila Lunardelli</t>
  </si>
  <si>
    <t xml:space="preserve">Vila Maria Jorge</t>
  </si>
  <si>
    <t xml:space="preserve">Vila Mota</t>
  </si>
  <si>
    <t xml:space="preserve">Vila Paulista</t>
  </si>
  <si>
    <t xml:space="preserve">Vila Pelinson</t>
  </si>
  <si>
    <t xml:space="preserve">Vila Rodrigues</t>
  </si>
  <si>
    <t xml:space="preserve">Vila São Luiz</t>
  </si>
  <si>
    <t xml:space="preserve">Vila Stocco</t>
  </si>
  <si>
    <t xml:space="preserve">TOTAL DE PRÉDIOS ENCONTRADOS</t>
  </si>
  <si>
    <t xml:space="preserve">Mapeamento de prospects — condomínios verticais</t>
  </si>
  <si>
    <t xml:space="preserve">Preencha as colunas amarelas. Faixa, mensalidade e receita anual se calculam sozinhas.</t>
  </si>
  <si>
    <t xml:space="preserve">Nome do edifício</t>
  </si>
  <si>
    <t xml:space="preserve">Endereço</t>
  </si>
  <si>
    <t xml:space="preserve">Unid.</t>
  </si>
  <si>
    <t xml:space="preserve">Blocos</t>
  </si>
  <si>
    <t xml:space="preserve">Síndico</t>
  </si>
  <si>
    <t xml:space="preserve">Telefone / WhatsApp</t>
  </si>
  <si>
    <t xml:space="preserve">Administradora atual</t>
  </si>
  <si>
    <t xml:space="preserve">Status</t>
  </si>
  <si>
    <t xml:space="preserve">Origem</t>
  </si>
  <si>
    <t xml:space="preserve">Mensalidade</t>
  </si>
  <si>
    <t xml:space="preserve">Receita 12 meses</t>
  </si>
  <si>
    <t xml:space="preserve">TOTAL DO PIPELINE MAPEADO</t>
  </si>
  <si>
    <t xml:space="preserve">Prédios mapeados</t>
  </si>
  <si>
    <t xml:space="preserve">Com nº de unidades preenchido</t>
  </si>
  <si>
    <t xml:space="preserve">Já fechados (status 7)</t>
  </si>
  <si>
    <t xml:space="preserve">Potencial de MRR mapeado</t>
  </si>
  <si>
    <t xml:space="preserve">Potencial anual mapeado</t>
  </si>
  <si>
    <t xml:space="preserve">Já são clientes da Prestare — não prospectar</t>
  </si>
  <si>
    <t xml:space="preserve">Os 15 condomínios da carteira. Servem de referência de porte ao mapear os prédios da concorrência.</t>
  </si>
  <si>
    <t xml:space="preserve">Condomínio</t>
  </si>
  <si>
    <t xml:space="preserve">Damha</t>
  </si>
  <si>
    <t xml:space="preserve">Ideal Life</t>
  </si>
  <si>
    <t xml:space="preserve">Duarte Nogueira</t>
  </si>
  <si>
    <t xml:space="preserve">Jardim Alvorada</t>
  </si>
  <si>
    <t xml:space="preserve">Casa Pienza</t>
  </si>
  <si>
    <t xml:space="preserve">Solar dos Ipês</t>
  </si>
  <si>
    <t xml:space="preserve">Moreschi</t>
  </si>
  <si>
    <t xml:space="preserve">Rio Negro</t>
  </si>
  <si>
    <t xml:space="preserve">Santa Andélia</t>
  </si>
  <si>
    <t xml:space="preserve">Veredas do Sol</t>
  </si>
  <si>
    <t xml:space="preserve">Grão Pará</t>
  </si>
  <si>
    <t xml:space="preserve">Santos Dumont</t>
  </si>
  <si>
    <t xml:space="preserve">Santorini</t>
  </si>
  <si>
    <t xml:space="preserve">Santa Josefa</t>
  </si>
  <si>
    <t xml:space="preserve">Porto Seguro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</si>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</sst>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General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63"/>
      <name val="Arial"/>
      <family val="0"/>
      <charset val="1"/>
    </font>
    <font>
      <i val="true"/>
      <sz val="10"/>
      <color rgb="FF5C6E8C"/>
      <name val="Arial"/>
      <family val="0"/>
      <charset val="1"/>
    </font>
    <font>
      <b val="true"/>
      <sz val="12"/>
      <color rgb="FF0B2A63"/>
      <name val="Arial"/>
      <family val="0"/>
      <charset val="1"/>
    </font>
    <font>
      <sz val="10"/>
      <color rgb="FF5C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2A6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B2A6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A6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5FC"/>
        <bgColor rgb="FFFFFFFF"/>
      </patternFill>
    </fill>
    <fill>
      <patternFill patternType="solid">
        <fgColor rgb="FFFFC8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C"/>
      <rgbColor rgb="FFCCFFFF"/>
      <rgbColor rgb="FF660066"/>
      <rgbColor rgb="FFFF8080"/>
      <rgbColor rgb="FF0066CC"/>
      <rgbColor rgb="FFD6D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00"/>
      <rgbColor rgb="FFFF9900"/>
      <rgbColor rgb="FFFF6600"/>
      <rgbColor rgb="FF5C6E8C"/>
      <rgbColor rgb="FF969696"/>
      <rgbColor rgb="FF0B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4"/>
      <c r="C7" s="4"/>
      <c r="D7" s="4"/>
      <c r="E7" s="4"/>
      <c r="F7" s="4"/>
      <c r="G7" s="4"/>
      <c r="H7" s="4"/>
      <c r="I7" s="4"/>
    </row>
    <row r="9" customFormat="false" ht="15" hidden="false" customHeight="false" outlineLevel="0" collapsed="false">
      <c r="B9" s="3" t="s">
        <v>4</v>
      </c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B10" s="4" t="s">
        <v>5</v>
      </c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B12" s="4" t="s">
        <v>6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B14" s="4" t="s">
        <v>7</v>
      </c>
      <c r="C14" s="4"/>
      <c r="D14" s="4"/>
      <c r="E14" s="4"/>
      <c r="F14" s="4"/>
      <c r="G14" s="4"/>
      <c r="H14" s="4"/>
      <c r="I14" s="4"/>
    </row>
    <row r="15" customFormat="false" ht="15" hidden="false" customHeight="true" outlineLevel="0" collapsed="false"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B16" s="4" t="s">
        <v>8</v>
      </c>
      <c r="C16" s="4"/>
      <c r="D16" s="4"/>
      <c r="E16" s="4"/>
      <c r="F16" s="4"/>
      <c r="G16" s="4"/>
      <c r="H16" s="4"/>
      <c r="I16" s="4"/>
    </row>
    <row r="17" customFormat="false" ht="15" hidden="false" customHeight="true" outlineLevel="0" collapsed="false"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B18" s="4" t="s">
        <v>9</v>
      </c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4" t="s">
        <v>10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4" t="s">
        <v>11</v>
      </c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B23" s="4"/>
      <c r="C23" s="4"/>
      <c r="D23" s="4"/>
      <c r="E23" s="4"/>
      <c r="F23" s="4"/>
      <c r="G23" s="4"/>
      <c r="H23" s="4"/>
      <c r="I23" s="4"/>
    </row>
    <row r="25" customFormat="false" ht="15" hidden="false" customHeight="false" outlineLevel="0" collapsed="false">
      <c r="B25" s="3" t="s">
        <v>12</v>
      </c>
      <c r="C25" s="3"/>
      <c r="D25" s="3"/>
      <c r="E25" s="3"/>
      <c r="F25" s="3"/>
      <c r="G25" s="3"/>
      <c r="H25" s="3"/>
      <c r="I25" s="3"/>
    </row>
    <row r="26" customFormat="false" ht="15" hidden="false" customHeight="true" outlineLevel="0" collapsed="false">
      <c r="B26" s="4" t="s">
        <v>13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B28" s="4" t="s">
        <v>14</v>
      </c>
      <c r="C28" s="4"/>
      <c r="D28" s="4"/>
      <c r="E28" s="4"/>
      <c r="F28" s="4"/>
      <c r="G28" s="4"/>
      <c r="H28" s="4"/>
      <c r="I28" s="4"/>
    </row>
    <row r="29" customFormat="false" ht="15" hidden="false" customHeight="true" outlineLevel="0" collapsed="false"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B30" s="4" t="s">
        <v>15</v>
      </c>
      <c r="C30" s="4"/>
      <c r="D30" s="4"/>
      <c r="E30" s="4"/>
      <c r="F30" s="4"/>
      <c r="G30" s="4"/>
      <c r="H30" s="4"/>
      <c r="I30" s="4"/>
    </row>
    <row r="31" customFormat="false" ht="15" hidden="false" customHeight="true" outlineLevel="0" collapsed="false"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B32" s="4" t="s">
        <v>16</v>
      </c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B33" s="4"/>
      <c r="C33" s="4"/>
      <c r="D33" s="4"/>
      <c r="E33" s="4"/>
      <c r="F33" s="4"/>
      <c r="G33" s="4"/>
      <c r="H33" s="4"/>
      <c r="I33" s="4"/>
    </row>
    <row r="35" customFormat="false" ht="15" hidden="false" customHeight="false" outlineLevel="0" collapsed="false">
      <c r="B35" s="3" t="s">
        <v>17</v>
      </c>
      <c r="C35" s="3"/>
      <c r="D35" s="3"/>
      <c r="E35" s="3"/>
      <c r="F35" s="3"/>
      <c r="G35" s="3"/>
      <c r="H35" s="3"/>
      <c r="I35" s="3"/>
    </row>
    <row r="36" customFormat="false" ht="15" hidden="false" customHeight="true" outlineLevel="0" collapsed="false">
      <c r="B36" s="4" t="s">
        <v>18</v>
      </c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B37" s="4"/>
      <c r="C37" s="4"/>
      <c r="D37" s="4"/>
      <c r="E37" s="4"/>
      <c r="F37" s="4"/>
      <c r="G37" s="4"/>
      <c r="H37" s="4"/>
      <c r="I37" s="4"/>
    </row>
  </sheetData>
  <mergeCells count="17">
    <mergeCell ref="B5:I5"/>
    <mergeCell ref="B6:I7"/>
    <mergeCell ref="B9:I9"/>
    <mergeCell ref="B10:I11"/>
    <mergeCell ref="B12:I13"/>
    <mergeCell ref="B14:I15"/>
    <mergeCell ref="B16:I17"/>
    <mergeCell ref="B18:I19"/>
    <mergeCell ref="B20:I21"/>
    <mergeCell ref="B22:I23"/>
    <mergeCell ref="B25:I25"/>
    <mergeCell ref="B26:I27"/>
    <mergeCell ref="B28:I29"/>
    <mergeCell ref="B30:I31"/>
    <mergeCell ref="B32:I33"/>
    <mergeCell ref="B35:I35"/>
    <mergeCell ref="B36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2" customFormat="false" ht="18.55" hidden="false" customHeight="false" outlineLevel="0" collapsed="false">
      <c r="B2" s="1" t="s">
        <v>19</v>
      </c>
    </row>
    <row r="3" customFormat="false" ht="15" hidden="false" customHeight="false" outlineLevel="0" collapsed="false">
      <c r="B3" s="2" t="s">
        <v>20</v>
      </c>
    </row>
    <row r="6" customFormat="false" ht="33.75" hidden="false" customHeight="true" outlineLevel="0" collapsed="false">
      <c r="B6" s="5" t="s">
        <v>21</v>
      </c>
      <c r="C6" s="5" t="s">
        <v>22</v>
      </c>
      <c r="D6" s="5" t="s">
        <v>23</v>
      </c>
      <c r="E6" s="5" t="s">
        <v>24</v>
      </c>
    </row>
    <row r="7" customFormat="false" ht="15" hidden="false" customHeight="false" outlineLevel="0" collapsed="false">
      <c r="B7" s="6" t="s">
        <v>25</v>
      </c>
      <c r="C7" s="7" t="n">
        <v>30</v>
      </c>
      <c r="D7" s="8" t="n">
        <v>298</v>
      </c>
      <c r="E7" s="9" t="s">
        <v>26</v>
      </c>
    </row>
    <row r="8" customFormat="false" ht="15" hidden="false" customHeight="false" outlineLevel="0" collapsed="false">
      <c r="B8" s="6" t="s">
        <v>27</v>
      </c>
      <c r="C8" s="7" t="n">
        <v>60</v>
      </c>
      <c r="D8" s="8" t="n">
        <v>9.9</v>
      </c>
      <c r="E8" s="9" t="s">
        <v>28</v>
      </c>
    </row>
    <row r="9" customFormat="false" ht="15" hidden="false" customHeight="false" outlineLevel="0" collapsed="false">
      <c r="B9" s="6" t="s">
        <v>29</v>
      </c>
      <c r="C9" s="7" t="n">
        <v>120</v>
      </c>
      <c r="D9" s="8" t="n">
        <v>8.9</v>
      </c>
      <c r="E9" s="9" t="s">
        <v>30</v>
      </c>
    </row>
    <row r="10" customFormat="false" ht="15" hidden="false" customHeight="false" outlineLevel="0" collapsed="false">
      <c r="B10" s="6" t="s">
        <v>31</v>
      </c>
      <c r="C10" s="10" t="s">
        <v>32</v>
      </c>
      <c r="D10" s="8" t="n">
        <v>11.9</v>
      </c>
      <c r="E10" s="9" t="s">
        <v>33</v>
      </c>
    </row>
    <row r="12" customFormat="false" ht="15" hidden="false" customHeight="false" outlineLevel="0" collapsed="false">
      <c r="B12" s="11" t="s">
        <v>34</v>
      </c>
      <c r="D12" s="12" t="n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4"/>
  </cols>
  <sheetData>
    <row r="2" customFormat="false" ht="18.55" hidden="false" customHeight="false" outlineLevel="0" collapsed="false">
      <c r="B2" s="1" t="s">
        <v>35</v>
      </c>
    </row>
    <row r="3" customFormat="false" ht="15" hidden="false" customHeight="false" outlineLevel="0" collapsed="false">
      <c r="B3" s="2" t="s">
        <v>36</v>
      </c>
    </row>
    <row r="6" customFormat="false" ht="33.75" hidden="false" customHeight="true" outlineLevel="0" collapsed="false"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</row>
    <row r="7" customFormat="false" ht="15" hidden="false" customHeight="false" outlineLevel="0" collapsed="false">
      <c r="B7" s="13" t="n">
        <v>1</v>
      </c>
      <c r="C7" s="14" t="s">
        <v>43</v>
      </c>
      <c r="D7" s="7"/>
      <c r="E7" s="7"/>
      <c r="F7" s="7"/>
      <c r="G7" s="7"/>
    </row>
    <row r="8" customFormat="false" ht="15" hidden="false" customHeight="false" outlineLevel="0" collapsed="false">
      <c r="B8" s="15" t="n">
        <v>2</v>
      </c>
      <c r="C8" s="16" t="s">
        <v>44</v>
      </c>
      <c r="D8" s="7"/>
      <c r="E8" s="7"/>
      <c r="F8" s="7"/>
      <c r="G8" s="7"/>
    </row>
    <row r="9" customFormat="false" ht="15" hidden="false" customHeight="false" outlineLevel="0" collapsed="false">
      <c r="B9" s="13" t="n">
        <v>3</v>
      </c>
      <c r="C9" s="14" t="s">
        <v>45</v>
      </c>
      <c r="D9" s="7"/>
      <c r="E9" s="7"/>
      <c r="F9" s="7"/>
      <c r="G9" s="7"/>
    </row>
    <row r="10" customFormat="false" ht="15" hidden="false" customHeight="false" outlineLevel="0" collapsed="false">
      <c r="B10" s="15" t="n">
        <v>4</v>
      </c>
      <c r="C10" s="16" t="s">
        <v>46</v>
      </c>
      <c r="D10" s="7"/>
      <c r="E10" s="7"/>
      <c r="F10" s="7"/>
      <c r="G10" s="7"/>
    </row>
    <row r="11" customFormat="false" ht="15" hidden="false" customHeight="false" outlineLevel="0" collapsed="false">
      <c r="B11" s="13" t="n">
        <v>5</v>
      </c>
      <c r="C11" s="14" t="s">
        <v>47</v>
      </c>
      <c r="D11" s="7"/>
      <c r="E11" s="7"/>
      <c r="F11" s="7"/>
      <c r="G11" s="7"/>
    </row>
    <row r="12" customFormat="false" ht="15" hidden="false" customHeight="false" outlineLevel="0" collapsed="false">
      <c r="B12" s="15" t="n">
        <v>6</v>
      </c>
      <c r="C12" s="16" t="s">
        <v>48</v>
      </c>
      <c r="D12" s="7"/>
      <c r="E12" s="7"/>
      <c r="F12" s="7"/>
      <c r="G12" s="7"/>
    </row>
    <row r="13" customFormat="false" ht="15" hidden="false" customHeight="false" outlineLevel="0" collapsed="false">
      <c r="B13" s="13" t="n">
        <v>7</v>
      </c>
      <c r="C13" s="14" t="s">
        <v>49</v>
      </c>
      <c r="D13" s="7"/>
      <c r="E13" s="7"/>
      <c r="F13" s="7"/>
      <c r="G13" s="7"/>
    </row>
    <row r="14" customFormat="false" ht="15" hidden="false" customHeight="false" outlineLevel="0" collapsed="false">
      <c r="B14" s="15" t="n">
        <v>8</v>
      </c>
      <c r="C14" s="16" t="s">
        <v>50</v>
      </c>
      <c r="D14" s="7"/>
      <c r="E14" s="7"/>
      <c r="F14" s="7"/>
      <c r="G14" s="7"/>
    </row>
    <row r="15" customFormat="false" ht="15" hidden="false" customHeight="false" outlineLevel="0" collapsed="false">
      <c r="B15" s="13" t="n">
        <v>9</v>
      </c>
      <c r="C15" s="14" t="s">
        <v>51</v>
      </c>
      <c r="D15" s="7"/>
      <c r="E15" s="7"/>
      <c r="F15" s="7"/>
      <c r="G15" s="7"/>
    </row>
    <row r="16" customFormat="false" ht="15" hidden="false" customHeight="false" outlineLevel="0" collapsed="false">
      <c r="B16" s="15" t="n">
        <v>10</v>
      </c>
      <c r="C16" s="16" t="s">
        <v>52</v>
      </c>
      <c r="D16" s="7"/>
      <c r="E16" s="7"/>
      <c r="F16" s="7"/>
      <c r="G16" s="7"/>
    </row>
    <row r="17" customFormat="false" ht="15" hidden="false" customHeight="false" outlineLevel="0" collapsed="false">
      <c r="B17" s="13" t="n">
        <v>11</v>
      </c>
      <c r="C17" s="14" t="s">
        <v>53</v>
      </c>
      <c r="D17" s="7"/>
      <c r="E17" s="7"/>
      <c r="F17" s="7"/>
      <c r="G17" s="7"/>
    </row>
    <row r="18" customFormat="false" ht="15" hidden="false" customHeight="false" outlineLevel="0" collapsed="false">
      <c r="B18" s="15" t="n">
        <v>12</v>
      </c>
      <c r="C18" s="16" t="s">
        <v>54</v>
      </c>
      <c r="D18" s="7"/>
      <c r="E18" s="7"/>
      <c r="F18" s="7"/>
      <c r="G18" s="7"/>
    </row>
    <row r="19" customFormat="false" ht="15" hidden="false" customHeight="false" outlineLevel="0" collapsed="false">
      <c r="B19" s="13" t="n">
        <v>13</v>
      </c>
      <c r="C19" s="14" t="s">
        <v>55</v>
      </c>
      <c r="D19" s="7"/>
      <c r="E19" s="7"/>
      <c r="F19" s="7"/>
      <c r="G19" s="7"/>
    </row>
    <row r="20" customFormat="false" ht="15" hidden="false" customHeight="false" outlineLevel="0" collapsed="false">
      <c r="B20" s="15" t="n">
        <v>14</v>
      </c>
      <c r="C20" s="16" t="s">
        <v>56</v>
      </c>
      <c r="D20" s="7"/>
      <c r="E20" s="7"/>
      <c r="F20" s="7"/>
      <c r="G20" s="7"/>
    </row>
    <row r="21" customFormat="false" ht="15" hidden="false" customHeight="false" outlineLevel="0" collapsed="false">
      <c r="B21" s="13" t="n">
        <v>15</v>
      </c>
      <c r="C21" s="14" t="s">
        <v>57</v>
      </c>
      <c r="D21" s="7"/>
      <c r="E21" s="7"/>
      <c r="F21" s="7"/>
      <c r="G21" s="7"/>
    </row>
    <row r="22" customFormat="false" ht="15" hidden="false" customHeight="false" outlineLevel="0" collapsed="false">
      <c r="B22" s="15" t="n">
        <v>16</v>
      </c>
      <c r="C22" s="16" t="s">
        <v>58</v>
      </c>
      <c r="D22" s="7"/>
      <c r="E22" s="7"/>
      <c r="F22" s="7"/>
      <c r="G22" s="7"/>
    </row>
    <row r="23" customFormat="false" ht="15" hidden="false" customHeight="false" outlineLevel="0" collapsed="false">
      <c r="B23" s="13" t="n">
        <v>17</v>
      </c>
      <c r="C23" s="14" t="s">
        <v>59</v>
      </c>
      <c r="D23" s="7"/>
      <c r="E23" s="7"/>
      <c r="F23" s="7"/>
      <c r="G23" s="7"/>
    </row>
    <row r="24" customFormat="false" ht="15" hidden="false" customHeight="false" outlineLevel="0" collapsed="false">
      <c r="B24" s="15" t="n">
        <v>18</v>
      </c>
      <c r="C24" s="16" t="s">
        <v>60</v>
      </c>
      <c r="D24" s="7"/>
      <c r="E24" s="7"/>
      <c r="F24" s="7"/>
      <c r="G24" s="7"/>
    </row>
    <row r="25" customFormat="false" ht="15" hidden="false" customHeight="false" outlineLevel="0" collapsed="false">
      <c r="B25" s="13" t="n">
        <v>19</v>
      </c>
      <c r="C25" s="14" t="s">
        <v>61</v>
      </c>
      <c r="D25" s="7"/>
      <c r="E25" s="7"/>
      <c r="F25" s="7"/>
      <c r="G25" s="7"/>
    </row>
    <row r="26" customFormat="false" ht="15" hidden="false" customHeight="false" outlineLevel="0" collapsed="false">
      <c r="B26" s="15" t="n">
        <v>20</v>
      </c>
      <c r="C26" s="16" t="s">
        <v>62</v>
      </c>
      <c r="D26" s="7"/>
      <c r="E26" s="7"/>
      <c r="F26" s="7"/>
      <c r="G26" s="7"/>
    </row>
    <row r="27" customFormat="false" ht="15" hidden="false" customHeight="false" outlineLevel="0" collapsed="false">
      <c r="B27" s="13" t="n">
        <v>21</v>
      </c>
      <c r="C27" s="14" t="s">
        <v>63</v>
      </c>
      <c r="D27" s="7"/>
      <c r="E27" s="7"/>
      <c r="F27" s="7"/>
      <c r="G27" s="7"/>
    </row>
    <row r="28" customFormat="false" ht="15" hidden="false" customHeight="false" outlineLevel="0" collapsed="false">
      <c r="B28" s="15" t="n">
        <v>22</v>
      </c>
      <c r="C28" s="16" t="s">
        <v>64</v>
      </c>
      <c r="D28" s="7"/>
      <c r="E28" s="7"/>
      <c r="F28" s="7"/>
      <c r="G28" s="7"/>
    </row>
    <row r="29" customFormat="false" ht="15" hidden="false" customHeight="false" outlineLevel="0" collapsed="false">
      <c r="B29" s="13" t="n">
        <v>23</v>
      </c>
      <c r="C29" s="14" t="s">
        <v>65</v>
      </c>
      <c r="D29" s="7"/>
      <c r="E29" s="7"/>
      <c r="F29" s="7"/>
      <c r="G29" s="7"/>
    </row>
    <row r="30" customFormat="false" ht="15" hidden="false" customHeight="false" outlineLevel="0" collapsed="false">
      <c r="B30" s="15" t="n">
        <v>24</v>
      </c>
      <c r="C30" s="16" t="s">
        <v>66</v>
      </c>
      <c r="D30" s="7"/>
      <c r="E30" s="7"/>
      <c r="F30" s="7"/>
      <c r="G30" s="7"/>
    </row>
    <row r="31" customFormat="false" ht="15" hidden="false" customHeight="false" outlineLevel="0" collapsed="false">
      <c r="B31" s="13" t="n">
        <v>25</v>
      </c>
      <c r="C31" s="14" t="s">
        <v>67</v>
      </c>
      <c r="D31" s="7"/>
      <c r="E31" s="7"/>
      <c r="F31" s="7"/>
      <c r="G31" s="7"/>
    </row>
    <row r="32" customFormat="false" ht="15" hidden="false" customHeight="false" outlineLevel="0" collapsed="false">
      <c r="B32" s="15" t="n">
        <v>26</v>
      </c>
      <c r="C32" s="16" t="s">
        <v>68</v>
      </c>
      <c r="D32" s="7"/>
      <c r="E32" s="7"/>
      <c r="F32" s="7"/>
      <c r="G32" s="7"/>
    </row>
    <row r="33" customFormat="false" ht="15" hidden="false" customHeight="false" outlineLevel="0" collapsed="false">
      <c r="B33" s="13" t="n">
        <v>27</v>
      </c>
      <c r="C33" s="14" t="s">
        <v>69</v>
      </c>
      <c r="D33" s="7"/>
      <c r="E33" s="7"/>
      <c r="F33" s="7"/>
      <c r="G33" s="7"/>
    </row>
    <row r="34" customFormat="false" ht="15" hidden="false" customHeight="false" outlineLevel="0" collapsed="false">
      <c r="B34" s="15" t="n">
        <v>28</v>
      </c>
      <c r="C34" s="16" t="s">
        <v>70</v>
      </c>
      <c r="D34" s="7"/>
      <c r="E34" s="7"/>
      <c r="F34" s="7"/>
      <c r="G34" s="7"/>
    </row>
    <row r="35" customFormat="false" ht="15" hidden="false" customHeight="false" outlineLevel="0" collapsed="false">
      <c r="B35" s="13" t="n">
        <v>29</v>
      </c>
      <c r="C35" s="14" t="s">
        <v>71</v>
      </c>
      <c r="D35" s="7"/>
      <c r="E35" s="7"/>
      <c r="F35" s="7"/>
      <c r="G35" s="7"/>
    </row>
    <row r="36" customFormat="false" ht="15" hidden="false" customHeight="false" outlineLevel="0" collapsed="false">
      <c r="B36" s="15" t="n">
        <v>30</v>
      </c>
      <c r="C36" s="16" t="s">
        <v>72</v>
      </c>
      <c r="D36" s="7"/>
      <c r="E36" s="7"/>
      <c r="F36" s="7"/>
      <c r="G36" s="7"/>
    </row>
    <row r="37" customFormat="false" ht="15" hidden="false" customHeight="false" outlineLevel="0" collapsed="false">
      <c r="B37" s="13" t="n">
        <v>31</v>
      </c>
      <c r="C37" s="14" t="s">
        <v>73</v>
      </c>
      <c r="D37" s="7"/>
      <c r="E37" s="7"/>
      <c r="F37" s="7"/>
      <c r="G37" s="7"/>
    </row>
    <row r="38" customFormat="false" ht="15" hidden="false" customHeight="false" outlineLevel="0" collapsed="false">
      <c r="B38" s="15" t="n">
        <v>32</v>
      </c>
      <c r="C38" s="16" t="s">
        <v>74</v>
      </c>
      <c r="D38" s="7"/>
      <c r="E38" s="7"/>
      <c r="F38" s="7"/>
      <c r="G38" s="7"/>
    </row>
    <row r="39" customFormat="false" ht="15" hidden="false" customHeight="false" outlineLevel="0" collapsed="false">
      <c r="B39" s="13" t="n">
        <v>33</v>
      </c>
      <c r="C39" s="14" t="s">
        <v>75</v>
      </c>
      <c r="D39" s="7"/>
      <c r="E39" s="7"/>
      <c r="F39" s="7"/>
      <c r="G39" s="7"/>
    </row>
    <row r="40" customFormat="false" ht="15" hidden="false" customHeight="false" outlineLevel="0" collapsed="false">
      <c r="B40" s="15" t="n">
        <v>34</v>
      </c>
      <c r="C40" s="16" t="s">
        <v>76</v>
      </c>
      <c r="D40" s="7"/>
      <c r="E40" s="7"/>
      <c r="F40" s="7"/>
      <c r="G40" s="7"/>
    </row>
    <row r="41" customFormat="false" ht="15" hidden="false" customHeight="false" outlineLevel="0" collapsed="false">
      <c r="B41" s="13" t="n">
        <v>35</v>
      </c>
      <c r="C41" s="14" t="s">
        <v>77</v>
      </c>
      <c r="D41" s="7"/>
      <c r="E41" s="7"/>
      <c r="F41" s="7"/>
      <c r="G41" s="7"/>
    </row>
    <row r="42" customFormat="false" ht="15" hidden="false" customHeight="false" outlineLevel="0" collapsed="false">
      <c r="B42" s="15" t="n">
        <v>36</v>
      </c>
      <c r="C42" s="16" t="s">
        <v>78</v>
      </c>
      <c r="D42" s="7"/>
      <c r="E42" s="7"/>
      <c r="F42" s="7"/>
      <c r="G42" s="7"/>
    </row>
    <row r="43" customFormat="false" ht="15" hidden="false" customHeight="false" outlineLevel="0" collapsed="false">
      <c r="B43" s="13" t="n">
        <v>37</v>
      </c>
      <c r="C43" s="14" t="s">
        <v>79</v>
      </c>
      <c r="D43" s="7"/>
      <c r="E43" s="7"/>
      <c r="F43" s="7"/>
      <c r="G43" s="7"/>
    </row>
    <row r="44" customFormat="false" ht="15" hidden="false" customHeight="false" outlineLevel="0" collapsed="false">
      <c r="B44" s="15" t="n">
        <v>38</v>
      </c>
      <c r="C44" s="16" t="s">
        <v>80</v>
      </c>
      <c r="D44" s="7"/>
      <c r="E44" s="7"/>
      <c r="F44" s="7"/>
      <c r="G44" s="7"/>
    </row>
    <row r="45" customFormat="false" ht="15" hidden="false" customHeight="false" outlineLevel="0" collapsed="false">
      <c r="B45" s="13" t="n">
        <v>39</v>
      </c>
      <c r="C45" s="14" t="s">
        <v>81</v>
      </c>
      <c r="D45" s="7"/>
      <c r="E45" s="7"/>
      <c r="F45" s="7"/>
      <c r="G45" s="7"/>
    </row>
    <row r="46" customFormat="false" ht="15" hidden="false" customHeight="false" outlineLevel="0" collapsed="false">
      <c r="B46" s="15" t="n">
        <v>40</v>
      </c>
      <c r="C46" s="16" t="s">
        <v>82</v>
      </c>
      <c r="D46" s="7"/>
      <c r="E46" s="7"/>
      <c r="F46" s="7"/>
      <c r="G46" s="7"/>
    </row>
    <row r="47" customFormat="false" ht="15" hidden="false" customHeight="false" outlineLevel="0" collapsed="false">
      <c r="B47" s="13" t="n">
        <v>41</v>
      </c>
      <c r="C47" s="14" t="s">
        <v>83</v>
      </c>
      <c r="D47" s="7"/>
      <c r="E47" s="7"/>
      <c r="F47" s="7"/>
      <c r="G47" s="7"/>
    </row>
    <row r="48" customFormat="false" ht="15" hidden="false" customHeight="false" outlineLevel="0" collapsed="false">
      <c r="B48" s="15" t="n">
        <v>42</v>
      </c>
      <c r="C48" s="16" t="s">
        <v>84</v>
      </c>
      <c r="D48" s="7"/>
      <c r="E48" s="7"/>
      <c r="F48" s="7"/>
      <c r="G48" s="7"/>
    </row>
    <row r="49" customFormat="false" ht="15" hidden="false" customHeight="false" outlineLevel="0" collapsed="false">
      <c r="B49" s="13" t="n">
        <v>43</v>
      </c>
      <c r="C49" s="14" t="s">
        <v>85</v>
      </c>
      <c r="D49" s="7"/>
      <c r="E49" s="7"/>
      <c r="F49" s="7"/>
      <c r="G49" s="7"/>
    </row>
    <row r="50" customFormat="false" ht="15" hidden="false" customHeight="false" outlineLevel="0" collapsed="false">
      <c r="B50" s="15" t="n">
        <v>44</v>
      </c>
      <c r="C50" s="16" t="s">
        <v>86</v>
      </c>
      <c r="D50" s="7"/>
      <c r="E50" s="7"/>
      <c r="F50" s="7"/>
      <c r="G50" s="7"/>
    </row>
    <row r="51" customFormat="false" ht="15" hidden="false" customHeight="false" outlineLevel="0" collapsed="false">
      <c r="B51" s="13" t="n">
        <v>45</v>
      </c>
      <c r="C51" s="14" t="s">
        <v>87</v>
      </c>
      <c r="D51" s="7"/>
      <c r="E51" s="7"/>
      <c r="F51" s="7"/>
      <c r="G51" s="7"/>
    </row>
    <row r="52" customFormat="false" ht="15" hidden="false" customHeight="false" outlineLevel="0" collapsed="false">
      <c r="B52" s="15" t="n">
        <v>46</v>
      </c>
      <c r="C52" s="16" t="s">
        <v>88</v>
      </c>
      <c r="D52" s="7"/>
      <c r="E52" s="7"/>
      <c r="F52" s="7"/>
      <c r="G52" s="7"/>
    </row>
    <row r="54" customFormat="false" ht="15" hidden="false" customHeight="false" outlineLevel="0" collapsed="false">
      <c r="C54" s="17" t="s">
        <v>89</v>
      </c>
      <c r="E54" s="18" t="n">
        <f aca="false">SUM(E7:E52)</f>
        <v>0</v>
      </c>
    </row>
  </sheetData>
  <dataValidations count="1">
    <dataValidation allowBlank="true" errorStyle="stop" operator="between" showDropDown="false" showErrorMessage="false" showInputMessage="false" sqref="D7:D52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7" min="6" style="0" width="8"/>
    <col collapsed="false" customWidth="true" hidden="false" outlineLevel="0" max="10" min="8" style="0" width="22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7"/>
    <col collapsed="false" customWidth="true" hidden="false" outlineLevel="0" max="16" min="16" style="0" width="30"/>
  </cols>
  <sheetData>
    <row r="2" customFormat="false" ht="18.55" hidden="false" customHeight="false" outlineLevel="0" collapsed="false">
      <c r="B2" s="1" t="s">
        <v>90</v>
      </c>
    </row>
    <row r="3" customFormat="false" ht="15" hidden="false" customHeight="false" outlineLevel="0" collapsed="false">
      <c r="B3" s="2" t="s">
        <v>91</v>
      </c>
    </row>
    <row r="6" customFormat="false" ht="33.75" hidden="false" customHeight="true" outlineLevel="0" collapsed="false">
      <c r="B6" s="5" t="s">
        <v>37</v>
      </c>
      <c r="C6" s="5" t="s">
        <v>92</v>
      </c>
      <c r="D6" s="5" t="s">
        <v>38</v>
      </c>
      <c r="E6" s="5" t="s">
        <v>93</v>
      </c>
      <c r="F6" s="5" t="s">
        <v>94</v>
      </c>
      <c r="G6" s="5" t="s">
        <v>95</v>
      </c>
      <c r="H6" s="5" t="s">
        <v>96</v>
      </c>
      <c r="I6" s="5" t="s">
        <v>97</v>
      </c>
      <c r="J6" s="5" t="s">
        <v>98</v>
      </c>
      <c r="K6" s="5" t="s">
        <v>99</v>
      </c>
      <c r="L6" s="5" t="s">
        <v>100</v>
      </c>
      <c r="M6" s="5" t="s">
        <v>21</v>
      </c>
      <c r="N6" s="5" t="s">
        <v>101</v>
      </c>
      <c r="O6" s="5" t="s">
        <v>102</v>
      </c>
      <c r="P6" s="5" t="s">
        <v>42</v>
      </c>
    </row>
    <row r="7" customFormat="false" ht="15" hidden="false" customHeight="false" outlineLevel="0" collapsed="false">
      <c r="B7" s="10" t="n">
        <v>1</v>
      </c>
      <c r="C7" s="19"/>
      <c r="D7" s="19"/>
      <c r="E7" s="19"/>
      <c r="F7" s="19"/>
      <c r="G7" s="7"/>
      <c r="H7" s="7"/>
      <c r="I7" s="19"/>
      <c r="J7" s="19"/>
      <c r="K7" s="19"/>
      <c r="L7" s="19"/>
      <c r="M7" s="20" t="str">
        <f aca="false">IF(G7="","",IF(G7&lt;=Preço!$C$7,Preço!$B$7,IF(G7&lt;=Preço!$C$8,Preço!$B$8,IF(G7&lt;=Preço!$C$9,Preço!$B$9,Preço!$B$10))))</f>
        <v/>
      </c>
      <c r="N7" s="21" t="str">
        <f aca="false">IF(G7="","",Preço!$D$7+MAX(0,MIN(G7,Preço!$C$8)-Preço!$C$7)*Preço!$D$8+MAX(0,MIN(G7,Preço!$C$9)-Preço!$C$8)*Preço!$D$9+MAX(0,G7-Preço!$C$9)*Preço!$D$10)</f>
        <v/>
      </c>
      <c r="O7" s="21" t="str">
        <f aca="false">IF(G7="","",N7*12)</f>
        <v/>
      </c>
      <c r="P7" s="19"/>
    </row>
    <row r="8" customFormat="false" ht="15" hidden="false" customHeight="false" outlineLevel="0" collapsed="false">
      <c r="B8" s="10" t="n">
        <v>2</v>
      </c>
      <c r="C8" s="19"/>
      <c r="D8" s="19"/>
      <c r="E8" s="19"/>
      <c r="F8" s="19"/>
      <c r="G8" s="7"/>
      <c r="H8" s="7"/>
      <c r="I8" s="19"/>
      <c r="J8" s="19"/>
      <c r="K8" s="19"/>
      <c r="L8" s="19"/>
      <c r="M8" s="20" t="str">
        <f aca="false">IF(G8="","",IF(G8&lt;=Preço!$C$7,Preço!$B$7,IF(G8&lt;=Preço!$C$8,Preço!$B$8,IF(G8&lt;=Preço!$C$9,Preço!$B$9,Preço!$B$10))))</f>
        <v/>
      </c>
      <c r="N8" s="21" t="str">
        <f aca="false">IF(G8="","",Preço!$D$7+MAX(0,MIN(G8,Preço!$C$8)-Preço!$C$7)*Preço!$D$8+MAX(0,MIN(G8,Preço!$C$9)-Preço!$C$8)*Preço!$D$9+MAX(0,G8-Preço!$C$9)*Preço!$D$10)</f>
        <v/>
      </c>
      <c r="O8" s="21" t="str">
        <f aca="false">IF(G8="","",N8*12)</f>
        <v/>
      </c>
      <c r="P8" s="19"/>
    </row>
    <row r="9" customFormat="false" ht="15" hidden="false" customHeight="false" outlineLevel="0" collapsed="false">
      <c r="B9" s="10" t="n">
        <v>3</v>
      </c>
      <c r="C9" s="19"/>
      <c r="D9" s="19"/>
      <c r="E9" s="19"/>
      <c r="F9" s="19"/>
      <c r="G9" s="7"/>
      <c r="H9" s="7"/>
      <c r="I9" s="19"/>
      <c r="J9" s="19"/>
      <c r="K9" s="19"/>
      <c r="L9" s="19"/>
      <c r="M9" s="20" t="str">
        <f aca="false">IF(G9="","",IF(G9&lt;=Preço!$C$7,Preço!$B$7,IF(G9&lt;=Preço!$C$8,Preço!$B$8,IF(G9&lt;=Preço!$C$9,Preço!$B$9,Preço!$B$10))))</f>
        <v/>
      </c>
      <c r="N9" s="21" t="str">
        <f aca="false">IF(G9="","",Preço!$D$7+MAX(0,MIN(G9,Preço!$C$8)-Preço!$C$7)*Preço!$D$8+MAX(0,MIN(G9,Preço!$C$9)-Preço!$C$8)*Preço!$D$9+MAX(0,G9-Preço!$C$9)*Preço!$D$10)</f>
        <v/>
      </c>
      <c r="O9" s="21" t="str">
        <f aca="false">IF(G9="","",N9*12)</f>
        <v/>
      </c>
      <c r="P9" s="19"/>
    </row>
    <row r="10" customFormat="false" ht="15" hidden="false" customHeight="false" outlineLevel="0" collapsed="false">
      <c r="B10" s="10" t="n">
        <v>4</v>
      </c>
      <c r="C10" s="19"/>
      <c r="D10" s="19"/>
      <c r="E10" s="19"/>
      <c r="F10" s="19"/>
      <c r="G10" s="7"/>
      <c r="H10" s="7"/>
      <c r="I10" s="19"/>
      <c r="J10" s="19"/>
      <c r="K10" s="19"/>
      <c r="L10" s="19"/>
      <c r="M10" s="20" t="str">
        <f aca="false">IF(G10="","",IF(G10&lt;=Preço!$C$7,Preço!$B$7,IF(G10&lt;=Preço!$C$8,Preço!$B$8,IF(G10&lt;=Preço!$C$9,Preço!$B$9,Preço!$B$10))))</f>
        <v/>
      </c>
      <c r="N10" s="21" t="str">
        <f aca="false">IF(G10="","",Preço!$D$7+MAX(0,MIN(G10,Preço!$C$8)-Preço!$C$7)*Preço!$D$8+MAX(0,MIN(G10,Preço!$C$9)-Preço!$C$8)*Preço!$D$9+MAX(0,G10-Preço!$C$9)*Preço!$D$10)</f>
        <v/>
      </c>
      <c r="O10" s="21" t="str">
        <f aca="false">IF(G10="","",N10*12)</f>
        <v/>
      </c>
      <c r="P10" s="19"/>
    </row>
    <row r="11" customFormat="false" ht="15" hidden="false" customHeight="false" outlineLevel="0" collapsed="false">
      <c r="B11" s="10" t="n">
        <v>5</v>
      </c>
      <c r="C11" s="19"/>
      <c r="D11" s="19"/>
      <c r="E11" s="19"/>
      <c r="F11" s="19"/>
      <c r="G11" s="7"/>
      <c r="H11" s="7"/>
      <c r="I11" s="19"/>
      <c r="J11" s="19"/>
      <c r="K11" s="19"/>
      <c r="L11" s="19"/>
      <c r="M11" s="20" t="str">
        <f aca="false">IF(G11="","",IF(G11&lt;=Preço!$C$7,Preço!$B$7,IF(G11&lt;=Preço!$C$8,Preço!$B$8,IF(G11&lt;=Preço!$C$9,Preço!$B$9,Preço!$B$10))))</f>
        <v/>
      </c>
      <c r="N11" s="21" t="str">
        <f aca="false">IF(G11="","",Preço!$D$7+MAX(0,MIN(G11,Preço!$C$8)-Preço!$C$7)*Preço!$D$8+MAX(0,MIN(G11,Preço!$C$9)-Preço!$C$8)*Preço!$D$9+MAX(0,G11-Preço!$C$9)*Preço!$D$10)</f>
        <v/>
      </c>
      <c r="O11" s="21" t="str">
        <f aca="false">IF(G11="","",N11*12)</f>
        <v/>
      </c>
      <c r="P11" s="19"/>
    </row>
    <row r="12" customFormat="false" ht="15" hidden="false" customHeight="false" outlineLevel="0" collapsed="false">
      <c r="B12" s="10" t="n">
        <v>6</v>
      </c>
      <c r="C12" s="19"/>
      <c r="D12" s="19"/>
      <c r="E12" s="19"/>
      <c r="F12" s="19"/>
      <c r="G12" s="7"/>
      <c r="H12" s="7"/>
      <c r="I12" s="19"/>
      <c r="J12" s="19"/>
      <c r="K12" s="19"/>
      <c r="L12" s="19"/>
      <c r="M12" s="20" t="str">
        <f aca="false">IF(G12="","",IF(G12&lt;=Preço!$C$7,Preço!$B$7,IF(G12&lt;=Preço!$C$8,Preço!$B$8,IF(G12&lt;=Preço!$C$9,Preço!$B$9,Preço!$B$10))))</f>
        <v/>
      </c>
      <c r="N12" s="21" t="str">
        <f aca="false">IF(G12="","",Preço!$D$7+MAX(0,MIN(G12,Preço!$C$8)-Preço!$C$7)*Preço!$D$8+MAX(0,MIN(G12,Preço!$C$9)-Preço!$C$8)*Preço!$D$9+MAX(0,G12-Preço!$C$9)*Preço!$D$10)</f>
        <v/>
      </c>
      <c r="O12" s="21" t="str">
        <f aca="false">IF(G12="","",N12*12)</f>
        <v/>
      </c>
      <c r="P12" s="19"/>
    </row>
    <row r="13" customFormat="false" ht="15" hidden="false" customHeight="false" outlineLevel="0" collapsed="false">
      <c r="B13" s="10" t="n">
        <v>7</v>
      </c>
      <c r="C13" s="19"/>
      <c r="D13" s="19"/>
      <c r="E13" s="19"/>
      <c r="F13" s="19"/>
      <c r="G13" s="7"/>
      <c r="H13" s="7"/>
      <c r="I13" s="19"/>
      <c r="J13" s="19"/>
      <c r="K13" s="19"/>
      <c r="L13" s="19"/>
      <c r="M13" s="20" t="str">
        <f aca="false">IF(G13="","",IF(G13&lt;=Preço!$C$7,Preço!$B$7,IF(G13&lt;=Preço!$C$8,Preço!$B$8,IF(G13&lt;=Preço!$C$9,Preço!$B$9,Preço!$B$10))))</f>
        <v/>
      </c>
      <c r="N13" s="21" t="str">
        <f aca="false">IF(G13="","",Preço!$D$7+MAX(0,MIN(G13,Preço!$C$8)-Preço!$C$7)*Preço!$D$8+MAX(0,MIN(G13,Preço!$C$9)-Preço!$C$8)*Preço!$D$9+MAX(0,G13-Preço!$C$9)*Preço!$D$10)</f>
        <v/>
      </c>
      <c r="O13" s="21" t="str">
        <f aca="false">IF(G13="","",N13*12)</f>
        <v/>
      </c>
      <c r="P13" s="19"/>
    </row>
    <row r="14" customFormat="false" ht="15" hidden="false" customHeight="false" outlineLevel="0" collapsed="false">
      <c r="B14" s="10" t="n">
        <v>8</v>
      </c>
      <c r="C14" s="19"/>
      <c r="D14" s="19"/>
      <c r="E14" s="19"/>
      <c r="F14" s="19"/>
      <c r="G14" s="7"/>
      <c r="H14" s="7"/>
      <c r="I14" s="19"/>
      <c r="J14" s="19"/>
      <c r="K14" s="19"/>
      <c r="L14" s="19"/>
      <c r="M14" s="20" t="str">
        <f aca="false">IF(G14="","",IF(G14&lt;=Preço!$C$7,Preço!$B$7,IF(G14&lt;=Preço!$C$8,Preço!$B$8,IF(G14&lt;=Preço!$C$9,Preço!$B$9,Preço!$B$10))))</f>
        <v/>
      </c>
      <c r="N14" s="21" t="str">
        <f aca="false">IF(G14="","",Preço!$D$7+MAX(0,MIN(G14,Preço!$C$8)-Preço!$C$7)*Preço!$D$8+MAX(0,MIN(G14,Preço!$C$9)-Preço!$C$8)*Preço!$D$9+MAX(0,G14-Preço!$C$9)*Preço!$D$10)</f>
        <v/>
      </c>
      <c r="O14" s="21" t="str">
        <f aca="false">IF(G14="","",N14*12)</f>
        <v/>
      </c>
      <c r="P14" s="19"/>
    </row>
    <row r="15" customFormat="false" ht="15" hidden="false" customHeight="false" outlineLevel="0" collapsed="false">
      <c r="B15" s="10" t="n">
        <v>9</v>
      </c>
      <c r="C15" s="19"/>
      <c r="D15" s="19"/>
      <c r="E15" s="19"/>
      <c r="F15" s="19"/>
      <c r="G15" s="7"/>
      <c r="H15" s="7"/>
      <c r="I15" s="19"/>
      <c r="J15" s="19"/>
      <c r="K15" s="19"/>
      <c r="L15" s="19"/>
      <c r="M15" s="20" t="str">
        <f aca="false">IF(G15="","",IF(G15&lt;=Preço!$C$7,Preço!$B$7,IF(G15&lt;=Preço!$C$8,Preço!$B$8,IF(G15&lt;=Preço!$C$9,Preço!$B$9,Preço!$B$10))))</f>
        <v/>
      </c>
      <c r="N15" s="21" t="str">
        <f aca="false">IF(G15="","",Preço!$D$7+MAX(0,MIN(G15,Preço!$C$8)-Preço!$C$7)*Preço!$D$8+MAX(0,MIN(G15,Preço!$C$9)-Preço!$C$8)*Preço!$D$9+MAX(0,G15-Preço!$C$9)*Preço!$D$10)</f>
        <v/>
      </c>
      <c r="O15" s="21" t="str">
        <f aca="false">IF(G15="","",N15*12)</f>
        <v/>
      </c>
      <c r="P15" s="19"/>
    </row>
    <row r="16" customFormat="false" ht="15" hidden="false" customHeight="false" outlineLevel="0" collapsed="false">
      <c r="B16" s="10" t="n">
        <v>10</v>
      </c>
      <c r="C16" s="19"/>
      <c r="D16" s="19"/>
      <c r="E16" s="19"/>
      <c r="F16" s="19"/>
      <c r="G16" s="7"/>
      <c r="H16" s="7"/>
      <c r="I16" s="19"/>
      <c r="J16" s="19"/>
      <c r="K16" s="19"/>
      <c r="L16" s="19"/>
      <c r="M16" s="20" t="str">
        <f aca="false">IF(G16="","",IF(G16&lt;=Preço!$C$7,Preço!$B$7,IF(G16&lt;=Preço!$C$8,Preço!$B$8,IF(G16&lt;=Preço!$C$9,Preço!$B$9,Preço!$B$10))))</f>
        <v/>
      </c>
      <c r="N16" s="21" t="str">
        <f aca="false">IF(G16="","",Preço!$D$7+MAX(0,MIN(G16,Preço!$C$8)-Preço!$C$7)*Preço!$D$8+MAX(0,MIN(G16,Preço!$C$9)-Preço!$C$8)*Preço!$D$9+MAX(0,G16-Preço!$C$9)*Preço!$D$10)</f>
        <v/>
      </c>
      <c r="O16" s="21" t="str">
        <f aca="false">IF(G16="","",N16*12)</f>
        <v/>
      </c>
      <c r="P16" s="19"/>
    </row>
    <row r="17" customFormat="false" ht="15" hidden="false" customHeight="false" outlineLevel="0" collapsed="false">
      <c r="B17" s="10" t="n">
        <v>11</v>
      </c>
      <c r="C17" s="19"/>
      <c r="D17" s="19"/>
      <c r="E17" s="19"/>
      <c r="F17" s="19"/>
      <c r="G17" s="7"/>
      <c r="H17" s="7"/>
      <c r="I17" s="19"/>
      <c r="J17" s="19"/>
      <c r="K17" s="19"/>
      <c r="L17" s="19"/>
      <c r="M17" s="20" t="str">
        <f aca="false">IF(G17="","",IF(G17&lt;=Preço!$C$7,Preço!$B$7,IF(G17&lt;=Preço!$C$8,Preço!$B$8,IF(G17&lt;=Preço!$C$9,Preço!$B$9,Preço!$B$10))))</f>
        <v/>
      </c>
      <c r="N17" s="21" t="str">
        <f aca="false">IF(G17="","",Preço!$D$7+MAX(0,MIN(G17,Preço!$C$8)-Preço!$C$7)*Preço!$D$8+MAX(0,MIN(G17,Preço!$C$9)-Preço!$C$8)*Preço!$D$9+MAX(0,G17-Preço!$C$9)*Preço!$D$10)</f>
        <v/>
      </c>
      <c r="O17" s="21" t="str">
        <f aca="false">IF(G17="","",N17*12)</f>
        <v/>
      </c>
      <c r="P17" s="19"/>
    </row>
    <row r="18" customFormat="false" ht="15" hidden="false" customHeight="false" outlineLevel="0" collapsed="false">
      <c r="B18" s="10" t="n">
        <v>12</v>
      </c>
      <c r="C18" s="19"/>
      <c r="D18" s="19"/>
      <c r="E18" s="19"/>
      <c r="F18" s="19"/>
      <c r="G18" s="7"/>
      <c r="H18" s="7"/>
      <c r="I18" s="19"/>
      <c r="J18" s="19"/>
      <c r="K18" s="19"/>
      <c r="L18" s="19"/>
      <c r="M18" s="20" t="str">
        <f aca="false">IF(G18="","",IF(G18&lt;=Preço!$C$7,Preço!$B$7,IF(G18&lt;=Preço!$C$8,Preço!$B$8,IF(G18&lt;=Preço!$C$9,Preço!$B$9,Preço!$B$10))))</f>
        <v/>
      </c>
      <c r="N18" s="21" t="str">
        <f aca="false">IF(G18="","",Preço!$D$7+MAX(0,MIN(G18,Preço!$C$8)-Preço!$C$7)*Preço!$D$8+MAX(0,MIN(G18,Preço!$C$9)-Preço!$C$8)*Preço!$D$9+MAX(0,G18-Preço!$C$9)*Preço!$D$10)</f>
        <v/>
      </c>
      <c r="O18" s="21" t="str">
        <f aca="false">IF(G18="","",N18*12)</f>
        <v/>
      </c>
      <c r="P18" s="19"/>
    </row>
    <row r="19" customFormat="false" ht="15" hidden="false" customHeight="false" outlineLevel="0" collapsed="false">
      <c r="B19" s="10" t="n">
        <v>13</v>
      </c>
      <c r="C19" s="19"/>
      <c r="D19" s="19"/>
      <c r="E19" s="19"/>
      <c r="F19" s="19"/>
      <c r="G19" s="7"/>
      <c r="H19" s="7"/>
      <c r="I19" s="19"/>
      <c r="J19" s="19"/>
      <c r="K19" s="19"/>
      <c r="L19" s="19"/>
      <c r="M19" s="20" t="str">
        <f aca="false">IF(G19="","",IF(G19&lt;=Preço!$C$7,Preço!$B$7,IF(G19&lt;=Preço!$C$8,Preço!$B$8,IF(G19&lt;=Preço!$C$9,Preço!$B$9,Preço!$B$10))))</f>
        <v/>
      </c>
      <c r="N19" s="21" t="str">
        <f aca="false">IF(G19="","",Preço!$D$7+MAX(0,MIN(G19,Preço!$C$8)-Preço!$C$7)*Preço!$D$8+MAX(0,MIN(G19,Preço!$C$9)-Preço!$C$8)*Preço!$D$9+MAX(0,G19-Preço!$C$9)*Preço!$D$10)</f>
        <v/>
      </c>
      <c r="O19" s="21" t="str">
        <f aca="false">IF(G19="","",N19*12)</f>
        <v/>
      </c>
      <c r="P19" s="19"/>
    </row>
    <row r="20" customFormat="false" ht="15" hidden="false" customHeight="false" outlineLevel="0" collapsed="false">
      <c r="B20" s="10" t="n">
        <v>14</v>
      </c>
      <c r="C20" s="19"/>
      <c r="D20" s="19"/>
      <c r="E20" s="19"/>
      <c r="F20" s="19"/>
      <c r="G20" s="7"/>
      <c r="H20" s="7"/>
      <c r="I20" s="19"/>
      <c r="J20" s="19"/>
      <c r="K20" s="19"/>
      <c r="L20" s="19"/>
      <c r="M20" s="20" t="str">
        <f aca="false">IF(G20="","",IF(G20&lt;=Preço!$C$7,Preço!$B$7,IF(G20&lt;=Preço!$C$8,Preço!$B$8,IF(G20&lt;=Preço!$C$9,Preço!$B$9,Preço!$B$10))))</f>
        <v/>
      </c>
      <c r="N20" s="21" t="str">
        <f aca="false">IF(G20="","",Preço!$D$7+MAX(0,MIN(G20,Preço!$C$8)-Preço!$C$7)*Preço!$D$8+MAX(0,MIN(G20,Preço!$C$9)-Preço!$C$8)*Preço!$D$9+MAX(0,G20-Preço!$C$9)*Preço!$D$10)</f>
        <v/>
      </c>
      <c r="O20" s="21" t="str">
        <f aca="false">IF(G20="","",N20*12)</f>
        <v/>
      </c>
      <c r="P20" s="19"/>
    </row>
    <row r="21" customFormat="false" ht="15" hidden="false" customHeight="false" outlineLevel="0" collapsed="false">
      <c r="B21" s="10" t="n">
        <v>15</v>
      </c>
      <c r="C21" s="19"/>
      <c r="D21" s="19"/>
      <c r="E21" s="19"/>
      <c r="F21" s="19"/>
      <c r="G21" s="7"/>
      <c r="H21" s="7"/>
      <c r="I21" s="19"/>
      <c r="J21" s="19"/>
      <c r="K21" s="19"/>
      <c r="L21" s="19"/>
      <c r="M21" s="20" t="str">
        <f aca="false">IF(G21="","",IF(G21&lt;=Preço!$C$7,Preço!$B$7,IF(G21&lt;=Preço!$C$8,Preço!$B$8,IF(G21&lt;=Preço!$C$9,Preço!$B$9,Preço!$B$10))))</f>
        <v/>
      </c>
      <c r="N21" s="21" t="str">
        <f aca="false">IF(G21="","",Preço!$D$7+MAX(0,MIN(G21,Preço!$C$8)-Preço!$C$7)*Preço!$D$8+MAX(0,MIN(G21,Preço!$C$9)-Preço!$C$8)*Preço!$D$9+MAX(0,G21-Preço!$C$9)*Preço!$D$10)</f>
        <v/>
      </c>
      <c r="O21" s="21" t="str">
        <f aca="false">IF(G21="","",N21*12)</f>
        <v/>
      </c>
      <c r="P21" s="19"/>
    </row>
    <row r="22" customFormat="false" ht="15" hidden="false" customHeight="false" outlineLevel="0" collapsed="false">
      <c r="B22" s="10" t="n">
        <v>16</v>
      </c>
      <c r="C22" s="19"/>
      <c r="D22" s="19"/>
      <c r="E22" s="19"/>
      <c r="F22" s="19"/>
      <c r="G22" s="7"/>
      <c r="H22" s="7"/>
      <c r="I22" s="19"/>
      <c r="J22" s="19"/>
      <c r="K22" s="19"/>
      <c r="L22" s="19"/>
      <c r="M22" s="20" t="str">
        <f aca="false">IF(G22="","",IF(G22&lt;=Preço!$C$7,Preço!$B$7,IF(G22&lt;=Preço!$C$8,Preço!$B$8,IF(G22&lt;=Preço!$C$9,Preço!$B$9,Preço!$B$10))))</f>
        <v/>
      </c>
      <c r="N22" s="21" t="str">
        <f aca="false">IF(G22="","",Preço!$D$7+MAX(0,MIN(G22,Preço!$C$8)-Preço!$C$7)*Preço!$D$8+MAX(0,MIN(G22,Preço!$C$9)-Preço!$C$8)*Preço!$D$9+MAX(0,G22-Preço!$C$9)*Preço!$D$10)</f>
        <v/>
      </c>
      <c r="O22" s="21" t="str">
        <f aca="false">IF(G22="","",N22*12)</f>
        <v/>
      </c>
      <c r="P22" s="19"/>
    </row>
    <row r="23" customFormat="false" ht="15" hidden="false" customHeight="false" outlineLevel="0" collapsed="false">
      <c r="B23" s="10" t="n">
        <v>17</v>
      </c>
      <c r="C23" s="19"/>
      <c r="D23" s="19"/>
      <c r="E23" s="19"/>
      <c r="F23" s="19"/>
      <c r="G23" s="7"/>
      <c r="H23" s="7"/>
      <c r="I23" s="19"/>
      <c r="J23" s="19"/>
      <c r="K23" s="19"/>
      <c r="L23" s="19"/>
      <c r="M23" s="20" t="str">
        <f aca="false">IF(G23="","",IF(G23&lt;=Preço!$C$7,Preço!$B$7,IF(G23&lt;=Preço!$C$8,Preço!$B$8,IF(G23&lt;=Preço!$C$9,Preço!$B$9,Preço!$B$10))))</f>
        <v/>
      </c>
      <c r="N23" s="21" t="str">
        <f aca="false">IF(G23="","",Preço!$D$7+MAX(0,MIN(G23,Preço!$C$8)-Preço!$C$7)*Preço!$D$8+MAX(0,MIN(G23,Preço!$C$9)-Preço!$C$8)*Preço!$D$9+MAX(0,G23-Preço!$C$9)*Preço!$D$10)</f>
        <v/>
      </c>
      <c r="O23" s="21" t="str">
        <f aca="false">IF(G23="","",N23*12)</f>
        <v/>
      </c>
      <c r="P23" s="19"/>
    </row>
    <row r="24" customFormat="false" ht="15" hidden="false" customHeight="false" outlineLevel="0" collapsed="false">
      <c r="B24" s="10" t="n">
        <v>18</v>
      </c>
      <c r="C24" s="19"/>
      <c r="D24" s="19"/>
      <c r="E24" s="19"/>
      <c r="F24" s="19"/>
      <c r="G24" s="7"/>
      <c r="H24" s="7"/>
      <c r="I24" s="19"/>
      <c r="J24" s="19"/>
      <c r="K24" s="19"/>
      <c r="L24" s="19"/>
      <c r="M24" s="20" t="str">
        <f aca="false">IF(G24="","",IF(G24&lt;=Preço!$C$7,Preço!$B$7,IF(G24&lt;=Preço!$C$8,Preço!$B$8,IF(G24&lt;=Preço!$C$9,Preço!$B$9,Preço!$B$10))))</f>
        <v/>
      </c>
      <c r="N24" s="21" t="str">
        <f aca="false">IF(G24="","",Preço!$D$7+MAX(0,MIN(G24,Preço!$C$8)-Preço!$C$7)*Preço!$D$8+MAX(0,MIN(G24,Preço!$C$9)-Preço!$C$8)*Preço!$D$9+MAX(0,G24-Preço!$C$9)*Preço!$D$10)</f>
        <v/>
      </c>
      <c r="O24" s="21" t="str">
        <f aca="false">IF(G24="","",N24*12)</f>
        <v/>
      </c>
      <c r="P24" s="19"/>
    </row>
    <row r="25" customFormat="false" ht="15" hidden="false" customHeight="false" outlineLevel="0" collapsed="false">
      <c r="B25" s="10" t="n">
        <v>19</v>
      </c>
      <c r="C25" s="19"/>
      <c r="D25" s="19"/>
      <c r="E25" s="19"/>
      <c r="F25" s="19"/>
      <c r="G25" s="7"/>
      <c r="H25" s="7"/>
      <c r="I25" s="19"/>
      <c r="J25" s="19"/>
      <c r="K25" s="19"/>
      <c r="L25" s="19"/>
      <c r="M25" s="20" t="str">
        <f aca="false">IF(G25="","",IF(G25&lt;=Preço!$C$7,Preço!$B$7,IF(G25&lt;=Preço!$C$8,Preço!$B$8,IF(G25&lt;=Preço!$C$9,Preço!$B$9,Preço!$B$10))))</f>
        <v/>
      </c>
      <c r="N25" s="21" t="str">
        <f aca="false">IF(G25="","",Preço!$D$7+MAX(0,MIN(G25,Preço!$C$8)-Preço!$C$7)*Preço!$D$8+MAX(0,MIN(G25,Preço!$C$9)-Preço!$C$8)*Preço!$D$9+MAX(0,G25-Preço!$C$9)*Preço!$D$10)</f>
        <v/>
      </c>
      <c r="O25" s="21" t="str">
        <f aca="false">IF(G25="","",N25*12)</f>
        <v/>
      </c>
      <c r="P25" s="19"/>
    </row>
    <row r="26" customFormat="false" ht="15" hidden="false" customHeight="false" outlineLevel="0" collapsed="false">
      <c r="B26" s="10" t="n">
        <v>20</v>
      </c>
      <c r="C26" s="19"/>
      <c r="D26" s="19"/>
      <c r="E26" s="19"/>
      <c r="F26" s="19"/>
      <c r="G26" s="7"/>
      <c r="H26" s="7"/>
      <c r="I26" s="19"/>
      <c r="J26" s="19"/>
      <c r="K26" s="19"/>
      <c r="L26" s="19"/>
      <c r="M26" s="20" t="str">
        <f aca="false">IF(G26="","",IF(G26&lt;=Preço!$C$7,Preço!$B$7,IF(G26&lt;=Preço!$C$8,Preço!$B$8,IF(G26&lt;=Preço!$C$9,Preço!$B$9,Preço!$B$10))))</f>
        <v/>
      </c>
      <c r="N26" s="21" t="str">
        <f aca="false">IF(G26="","",Preço!$D$7+MAX(0,MIN(G26,Preço!$C$8)-Preço!$C$7)*Preço!$D$8+MAX(0,MIN(G26,Preço!$C$9)-Preço!$C$8)*Preço!$D$9+MAX(0,G26-Preço!$C$9)*Preço!$D$10)</f>
        <v/>
      </c>
      <c r="O26" s="21" t="str">
        <f aca="false">IF(G26="","",N26*12)</f>
        <v/>
      </c>
      <c r="P26" s="19"/>
    </row>
    <row r="27" customFormat="false" ht="15" hidden="false" customHeight="false" outlineLevel="0" collapsed="false">
      <c r="B27" s="10" t="n">
        <v>21</v>
      </c>
      <c r="C27" s="19"/>
      <c r="D27" s="19"/>
      <c r="E27" s="19"/>
      <c r="F27" s="19"/>
      <c r="G27" s="7"/>
      <c r="H27" s="7"/>
      <c r="I27" s="19"/>
      <c r="J27" s="19"/>
      <c r="K27" s="19"/>
      <c r="L27" s="19"/>
      <c r="M27" s="20" t="str">
        <f aca="false">IF(G27="","",IF(G27&lt;=Preço!$C$7,Preço!$B$7,IF(G27&lt;=Preço!$C$8,Preço!$B$8,IF(G27&lt;=Preço!$C$9,Preço!$B$9,Preço!$B$10))))</f>
        <v/>
      </c>
      <c r="N27" s="21" t="str">
        <f aca="false">IF(G27="","",Preço!$D$7+MAX(0,MIN(G27,Preço!$C$8)-Preço!$C$7)*Preço!$D$8+MAX(0,MIN(G27,Preço!$C$9)-Preço!$C$8)*Preço!$D$9+MAX(0,G27-Preço!$C$9)*Preço!$D$10)</f>
        <v/>
      </c>
      <c r="O27" s="21" t="str">
        <f aca="false">IF(G27="","",N27*12)</f>
        <v/>
      </c>
      <c r="P27" s="19"/>
    </row>
    <row r="28" customFormat="false" ht="15" hidden="false" customHeight="false" outlineLevel="0" collapsed="false">
      <c r="B28" s="10" t="n">
        <v>22</v>
      </c>
      <c r="C28" s="19"/>
      <c r="D28" s="19"/>
      <c r="E28" s="19"/>
      <c r="F28" s="19"/>
      <c r="G28" s="7"/>
      <c r="H28" s="7"/>
      <c r="I28" s="19"/>
      <c r="J28" s="19"/>
      <c r="K28" s="19"/>
      <c r="L28" s="19"/>
      <c r="M28" s="20" t="str">
        <f aca="false">IF(G28="","",IF(G28&lt;=Preço!$C$7,Preço!$B$7,IF(G28&lt;=Preço!$C$8,Preço!$B$8,IF(G28&lt;=Preço!$C$9,Preço!$B$9,Preço!$B$10))))</f>
        <v/>
      </c>
      <c r="N28" s="21" t="str">
        <f aca="false">IF(G28="","",Preço!$D$7+MAX(0,MIN(G28,Preço!$C$8)-Preço!$C$7)*Preço!$D$8+MAX(0,MIN(G28,Preço!$C$9)-Preço!$C$8)*Preço!$D$9+MAX(0,G28-Preço!$C$9)*Preço!$D$10)</f>
        <v/>
      </c>
      <c r="O28" s="21" t="str">
        <f aca="false">IF(G28="","",N28*12)</f>
        <v/>
      </c>
      <c r="P28" s="19"/>
    </row>
    <row r="29" customFormat="false" ht="15" hidden="false" customHeight="false" outlineLevel="0" collapsed="false">
      <c r="B29" s="10" t="n">
        <v>23</v>
      </c>
      <c r="C29" s="19"/>
      <c r="D29" s="19"/>
      <c r="E29" s="19"/>
      <c r="F29" s="19"/>
      <c r="G29" s="7"/>
      <c r="H29" s="7"/>
      <c r="I29" s="19"/>
      <c r="J29" s="19"/>
      <c r="K29" s="19"/>
      <c r="L29" s="19"/>
      <c r="M29" s="20" t="str">
        <f aca="false">IF(G29="","",IF(G29&lt;=Preço!$C$7,Preço!$B$7,IF(G29&lt;=Preço!$C$8,Preço!$B$8,IF(G29&lt;=Preço!$C$9,Preço!$B$9,Preço!$B$10))))</f>
        <v/>
      </c>
      <c r="N29" s="21" t="str">
        <f aca="false">IF(G29="","",Preço!$D$7+MAX(0,MIN(G29,Preço!$C$8)-Preço!$C$7)*Preço!$D$8+MAX(0,MIN(G29,Preço!$C$9)-Preço!$C$8)*Preço!$D$9+MAX(0,G29-Preço!$C$9)*Preço!$D$10)</f>
        <v/>
      </c>
      <c r="O29" s="21" t="str">
        <f aca="false">IF(G29="","",N29*12)</f>
        <v/>
      </c>
      <c r="P29" s="19"/>
    </row>
    <row r="30" customFormat="false" ht="15" hidden="false" customHeight="false" outlineLevel="0" collapsed="false">
      <c r="B30" s="10" t="n">
        <v>24</v>
      </c>
      <c r="C30" s="19"/>
      <c r="D30" s="19"/>
      <c r="E30" s="19"/>
      <c r="F30" s="19"/>
      <c r="G30" s="7"/>
      <c r="H30" s="7"/>
      <c r="I30" s="19"/>
      <c r="J30" s="19"/>
      <c r="K30" s="19"/>
      <c r="L30" s="19"/>
      <c r="M30" s="20" t="str">
        <f aca="false">IF(G30="","",IF(G30&lt;=Preço!$C$7,Preço!$B$7,IF(G30&lt;=Preço!$C$8,Preço!$B$8,IF(G30&lt;=Preço!$C$9,Preço!$B$9,Preço!$B$10))))</f>
        <v/>
      </c>
      <c r="N30" s="21" t="str">
        <f aca="false">IF(G30="","",Preço!$D$7+MAX(0,MIN(G30,Preço!$C$8)-Preço!$C$7)*Preço!$D$8+MAX(0,MIN(G30,Preço!$C$9)-Preço!$C$8)*Preço!$D$9+MAX(0,G30-Preço!$C$9)*Preço!$D$10)</f>
        <v/>
      </c>
      <c r="O30" s="21" t="str">
        <f aca="false">IF(G30="","",N30*12)</f>
        <v/>
      </c>
      <c r="P30" s="19"/>
    </row>
    <row r="31" customFormat="false" ht="15" hidden="false" customHeight="false" outlineLevel="0" collapsed="false">
      <c r="B31" s="10" t="n">
        <v>25</v>
      </c>
      <c r="C31" s="19"/>
      <c r="D31" s="19"/>
      <c r="E31" s="19"/>
      <c r="F31" s="19"/>
      <c r="G31" s="7"/>
      <c r="H31" s="7"/>
      <c r="I31" s="19"/>
      <c r="J31" s="19"/>
      <c r="K31" s="19"/>
      <c r="L31" s="19"/>
      <c r="M31" s="20" t="str">
        <f aca="false">IF(G31="","",IF(G31&lt;=Preço!$C$7,Preço!$B$7,IF(G31&lt;=Preço!$C$8,Preço!$B$8,IF(G31&lt;=Preço!$C$9,Preço!$B$9,Preço!$B$10))))</f>
        <v/>
      </c>
      <c r="N31" s="21" t="str">
        <f aca="false">IF(G31="","",Preço!$D$7+MAX(0,MIN(G31,Preço!$C$8)-Preço!$C$7)*Preço!$D$8+MAX(0,MIN(G31,Preço!$C$9)-Preço!$C$8)*Preço!$D$9+MAX(0,G31-Preço!$C$9)*Preço!$D$10)</f>
        <v/>
      </c>
      <c r="O31" s="21" t="str">
        <f aca="false">IF(G31="","",N31*12)</f>
        <v/>
      </c>
      <c r="P31" s="19"/>
    </row>
    <row r="32" customFormat="false" ht="15" hidden="false" customHeight="false" outlineLevel="0" collapsed="false">
      <c r="B32" s="10" t="n">
        <v>26</v>
      </c>
      <c r="C32" s="19"/>
      <c r="D32" s="19"/>
      <c r="E32" s="19"/>
      <c r="F32" s="19"/>
      <c r="G32" s="7"/>
      <c r="H32" s="7"/>
      <c r="I32" s="19"/>
      <c r="J32" s="19"/>
      <c r="K32" s="19"/>
      <c r="L32" s="19"/>
      <c r="M32" s="20" t="str">
        <f aca="false">IF(G32="","",IF(G32&lt;=Preço!$C$7,Preço!$B$7,IF(G32&lt;=Preço!$C$8,Preço!$B$8,IF(G32&lt;=Preço!$C$9,Preço!$B$9,Preço!$B$10))))</f>
        <v/>
      </c>
      <c r="N32" s="21" t="str">
        <f aca="false">IF(G32="","",Preço!$D$7+MAX(0,MIN(G32,Preço!$C$8)-Preço!$C$7)*Preço!$D$8+MAX(0,MIN(G32,Preço!$C$9)-Preço!$C$8)*Preço!$D$9+MAX(0,G32-Preço!$C$9)*Preço!$D$10)</f>
        <v/>
      </c>
      <c r="O32" s="21" t="str">
        <f aca="false">IF(G32="","",N32*12)</f>
        <v/>
      </c>
      <c r="P32" s="19"/>
    </row>
    <row r="33" customFormat="false" ht="15" hidden="false" customHeight="false" outlineLevel="0" collapsed="false">
      <c r="B33" s="10" t="n">
        <v>27</v>
      </c>
      <c r="C33" s="19"/>
      <c r="D33" s="19"/>
      <c r="E33" s="19"/>
      <c r="F33" s="19"/>
      <c r="G33" s="7"/>
      <c r="H33" s="7"/>
      <c r="I33" s="19"/>
      <c r="J33" s="19"/>
      <c r="K33" s="19"/>
      <c r="L33" s="19"/>
      <c r="M33" s="20" t="str">
        <f aca="false">IF(G33="","",IF(G33&lt;=Preço!$C$7,Preço!$B$7,IF(G33&lt;=Preço!$C$8,Preço!$B$8,IF(G33&lt;=Preço!$C$9,Preço!$B$9,Preço!$B$10))))</f>
        <v/>
      </c>
      <c r="N33" s="21" t="str">
        <f aca="false">IF(G33="","",Preço!$D$7+MAX(0,MIN(G33,Preço!$C$8)-Preço!$C$7)*Preço!$D$8+MAX(0,MIN(G33,Preço!$C$9)-Preço!$C$8)*Preço!$D$9+MAX(0,G33-Preço!$C$9)*Preço!$D$10)</f>
        <v/>
      </c>
      <c r="O33" s="21" t="str">
        <f aca="false">IF(G33="","",N33*12)</f>
        <v/>
      </c>
      <c r="P33" s="19"/>
    </row>
    <row r="34" customFormat="false" ht="15" hidden="false" customHeight="false" outlineLevel="0" collapsed="false">
      <c r="B34" s="10" t="n">
        <v>28</v>
      </c>
      <c r="C34" s="19"/>
      <c r="D34" s="19"/>
      <c r="E34" s="19"/>
      <c r="F34" s="19"/>
      <c r="G34" s="7"/>
      <c r="H34" s="7"/>
      <c r="I34" s="19"/>
      <c r="J34" s="19"/>
      <c r="K34" s="19"/>
      <c r="L34" s="19"/>
      <c r="M34" s="20" t="str">
        <f aca="false">IF(G34="","",IF(G34&lt;=Preço!$C$7,Preço!$B$7,IF(G34&lt;=Preço!$C$8,Preço!$B$8,IF(G34&lt;=Preço!$C$9,Preço!$B$9,Preço!$B$10))))</f>
        <v/>
      </c>
      <c r="N34" s="21" t="str">
        <f aca="false">IF(G34="","",Preço!$D$7+MAX(0,MIN(G34,Preço!$C$8)-Preço!$C$7)*Preço!$D$8+MAX(0,MIN(G34,Preço!$C$9)-Preço!$C$8)*Preço!$D$9+MAX(0,G34-Preço!$C$9)*Preço!$D$10)</f>
        <v/>
      </c>
      <c r="O34" s="21" t="str">
        <f aca="false">IF(G34="","",N34*12)</f>
        <v/>
      </c>
      <c r="P34" s="19"/>
    </row>
    <row r="35" customFormat="false" ht="15" hidden="false" customHeight="false" outlineLevel="0" collapsed="false">
      <c r="B35" s="10" t="n">
        <v>29</v>
      </c>
      <c r="C35" s="19"/>
      <c r="D35" s="19"/>
      <c r="E35" s="19"/>
      <c r="F35" s="19"/>
      <c r="G35" s="7"/>
      <c r="H35" s="7"/>
      <c r="I35" s="19"/>
      <c r="J35" s="19"/>
      <c r="K35" s="19"/>
      <c r="L35" s="19"/>
      <c r="M35" s="20" t="str">
        <f aca="false">IF(G35="","",IF(G35&lt;=Preço!$C$7,Preço!$B$7,IF(G35&lt;=Preço!$C$8,Preço!$B$8,IF(G35&lt;=Preço!$C$9,Preço!$B$9,Preço!$B$10))))</f>
        <v/>
      </c>
      <c r="N35" s="21" t="str">
        <f aca="false">IF(G35="","",Preço!$D$7+MAX(0,MIN(G35,Preço!$C$8)-Preço!$C$7)*Preço!$D$8+MAX(0,MIN(G35,Preço!$C$9)-Preço!$C$8)*Preço!$D$9+MAX(0,G35-Preço!$C$9)*Preço!$D$10)</f>
        <v/>
      </c>
      <c r="O35" s="21" t="str">
        <f aca="false">IF(G35="","",N35*12)</f>
        <v/>
      </c>
      <c r="P35" s="19"/>
    </row>
    <row r="36" customFormat="false" ht="15" hidden="false" customHeight="false" outlineLevel="0" collapsed="false">
      <c r="B36" s="10" t="n">
        <v>30</v>
      </c>
      <c r="C36" s="19"/>
      <c r="D36" s="19"/>
      <c r="E36" s="19"/>
      <c r="F36" s="19"/>
      <c r="G36" s="7"/>
      <c r="H36" s="7"/>
      <c r="I36" s="19"/>
      <c r="J36" s="19"/>
      <c r="K36" s="19"/>
      <c r="L36" s="19"/>
      <c r="M36" s="20" t="str">
        <f aca="false">IF(G36="","",IF(G36&lt;=Preço!$C$7,Preço!$B$7,IF(G36&lt;=Preço!$C$8,Preço!$B$8,IF(G36&lt;=Preço!$C$9,Preço!$B$9,Preço!$B$10))))</f>
        <v/>
      </c>
      <c r="N36" s="21" t="str">
        <f aca="false">IF(G36="","",Preço!$D$7+MAX(0,MIN(G36,Preço!$C$8)-Preço!$C$7)*Preço!$D$8+MAX(0,MIN(G36,Preço!$C$9)-Preço!$C$8)*Preço!$D$9+MAX(0,G36-Preço!$C$9)*Preço!$D$10)</f>
        <v/>
      </c>
      <c r="O36" s="21" t="str">
        <f aca="false">IF(G36="","",N36*12)</f>
        <v/>
      </c>
      <c r="P36" s="19"/>
    </row>
    <row r="37" customFormat="false" ht="15" hidden="false" customHeight="false" outlineLevel="0" collapsed="false">
      <c r="B37" s="10" t="n">
        <v>31</v>
      </c>
      <c r="C37" s="19"/>
      <c r="D37" s="19"/>
      <c r="E37" s="19"/>
      <c r="F37" s="19"/>
      <c r="G37" s="7"/>
      <c r="H37" s="7"/>
      <c r="I37" s="19"/>
      <c r="J37" s="19"/>
      <c r="K37" s="19"/>
      <c r="L37" s="19"/>
      <c r="M37" s="20" t="str">
        <f aca="false">IF(G37="","",IF(G37&lt;=Preço!$C$7,Preço!$B$7,IF(G37&lt;=Preço!$C$8,Preço!$B$8,IF(G37&lt;=Preço!$C$9,Preço!$B$9,Preço!$B$10))))</f>
        <v/>
      </c>
      <c r="N37" s="21" t="str">
        <f aca="false">IF(G37="","",Preço!$D$7+MAX(0,MIN(G37,Preço!$C$8)-Preço!$C$7)*Preço!$D$8+MAX(0,MIN(G37,Preço!$C$9)-Preço!$C$8)*Preço!$D$9+MAX(0,G37-Preço!$C$9)*Preço!$D$10)</f>
        <v/>
      </c>
      <c r="O37" s="21" t="str">
        <f aca="false">IF(G37="","",N37*12)</f>
        <v/>
      </c>
      <c r="P37" s="19"/>
    </row>
    <row r="38" customFormat="false" ht="15" hidden="false" customHeight="false" outlineLevel="0" collapsed="false">
      <c r="B38" s="10" t="n">
        <v>32</v>
      </c>
      <c r="C38" s="19"/>
      <c r="D38" s="19"/>
      <c r="E38" s="19"/>
      <c r="F38" s="19"/>
      <c r="G38" s="7"/>
      <c r="H38" s="7"/>
      <c r="I38" s="19"/>
      <c r="J38" s="19"/>
      <c r="K38" s="19"/>
      <c r="L38" s="19"/>
      <c r="M38" s="20" t="str">
        <f aca="false">IF(G38="","",IF(G38&lt;=Preço!$C$7,Preço!$B$7,IF(G38&lt;=Preço!$C$8,Preço!$B$8,IF(G38&lt;=Preço!$C$9,Preço!$B$9,Preço!$B$10))))</f>
        <v/>
      </c>
      <c r="N38" s="21" t="str">
        <f aca="false">IF(G38="","",Preço!$D$7+MAX(0,MIN(G38,Preço!$C$8)-Preço!$C$7)*Preço!$D$8+MAX(0,MIN(G38,Preço!$C$9)-Preço!$C$8)*Preço!$D$9+MAX(0,G38-Preço!$C$9)*Preço!$D$10)</f>
        <v/>
      </c>
      <c r="O38" s="21" t="str">
        <f aca="false">IF(G38="","",N38*12)</f>
        <v/>
      </c>
      <c r="P38" s="19"/>
    </row>
    <row r="39" customFormat="false" ht="15" hidden="false" customHeight="false" outlineLevel="0" collapsed="false">
      <c r="B39" s="10" t="n">
        <v>33</v>
      </c>
      <c r="C39" s="19"/>
      <c r="D39" s="19"/>
      <c r="E39" s="19"/>
      <c r="F39" s="19"/>
      <c r="G39" s="7"/>
      <c r="H39" s="7"/>
      <c r="I39" s="19"/>
      <c r="J39" s="19"/>
      <c r="K39" s="19"/>
      <c r="L39" s="19"/>
      <c r="M39" s="20" t="str">
        <f aca="false">IF(G39="","",IF(G39&lt;=Preço!$C$7,Preço!$B$7,IF(G39&lt;=Preço!$C$8,Preço!$B$8,IF(G39&lt;=Preço!$C$9,Preço!$B$9,Preço!$B$10))))</f>
        <v/>
      </c>
      <c r="N39" s="21" t="str">
        <f aca="false">IF(G39="","",Preço!$D$7+MAX(0,MIN(G39,Preço!$C$8)-Preço!$C$7)*Preço!$D$8+MAX(0,MIN(G39,Preço!$C$9)-Preço!$C$8)*Preço!$D$9+MAX(0,G39-Preço!$C$9)*Preço!$D$10)</f>
        <v/>
      </c>
      <c r="O39" s="21" t="str">
        <f aca="false">IF(G39="","",N39*12)</f>
        <v/>
      </c>
      <c r="P39" s="19"/>
    </row>
    <row r="40" customFormat="false" ht="15" hidden="false" customHeight="false" outlineLevel="0" collapsed="false">
      <c r="B40" s="10" t="n">
        <v>34</v>
      </c>
      <c r="C40" s="19"/>
      <c r="D40" s="19"/>
      <c r="E40" s="19"/>
      <c r="F40" s="19"/>
      <c r="G40" s="7"/>
      <c r="H40" s="7"/>
      <c r="I40" s="19"/>
      <c r="J40" s="19"/>
      <c r="K40" s="19"/>
      <c r="L40" s="19"/>
      <c r="M40" s="20" t="str">
        <f aca="false">IF(G40="","",IF(G40&lt;=Preço!$C$7,Preço!$B$7,IF(G40&lt;=Preço!$C$8,Preço!$B$8,IF(G40&lt;=Preço!$C$9,Preço!$B$9,Preço!$B$10))))</f>
        <v/>
      </c>
      <c r="N40" s="21" t="str">
        <f aca="false">IF(G40="","",Preço!$D$7+MAX(0,MIN(G40,Preço!$C$8)-Preço!$C$7)*Preço!$D$8+MAX(0,MIN(G40,Preço!$C$9)-Preço!$C$8)*Preço!$D$9+MAX(0,G40-Preço!$C$9)*Preço!$D$10)</f>
        <v/>
      </c>
      <c r="O40" s="21" t="str">
        <f aca="false">IF(G40="","",N40*12)</f>
        <v/>
      </c>
      <c r="P40" s="19"/>
    </row>
    <row r="41" customFormat="false" ht="15" hidden="false" customHeight="false" outlineLevel="0" collapsed="false">
      <c r="B41" s="10" t="n">
        <v>35</v>
      </c>
      <c r="C41" s="19"/>
      <c r="D41" s="19"/>
      <c r="E41" s="19"/>
      <c r="F41" s="19"/>
      <c r="G41" s="7"/>
      <c r="H41" s="7"/>
      <c r="I41" s="19"/>
      <c r="J41" s="19"/>
      <c r="K41" s="19"/>
      <c r="L41" s="19"/>
      <c r="M41" s="20" t="str">
        <f aca="false">IF(G41="","",IF(G41&lt;=Preço!$C$7,Preço!$B$7,IF(G41&lt;=Preço!$C$8,Preço!$B$8,IF(G41&lt;=Preço!$C$9,Preço!$B$9,Preço!$B$10))))</f>
        <v/>
      </c>
      <c r="N41" s="21" t="str">
        <f aca="false">IF(G41="","",Preço!$D$7+MAX(0,MIN(G41,Preço!$C$8)-Preço!$C$7)*Preço!$D$8+MAX(0,MIN(G41,Preço!$C$9)-Preço!$C$8)*Preço!$D$9+MAX(0,G41-Preço!$C$9)*Preço!$D$10)</f>
        <v/>
      </c>
      <c r="O41" s="21" t="str">
        <f aca="false">IF(G41="","",N41*12)</f>
        <v/>
      </c>
      <c r="P41" s="19"/>
    </row>
    <row r="42" customFormat="false" ht="15" hidden="false" customHeight="false" outlineLevel="0" collapsed="false">
      <c r="B42" s="10" t="n">
        <v>36</v>
      </c>
      <c r="C42" s="19"/>
      <c r="D42" s="19"/>
      <c r="E42" s="19"/>
      <c r="F42" s="19"/>
      <c r="G42" s="7"/>
      <c r="H42" s="7"/>
      <c r="I42" s="19"/>
      <c r="J42" s="19"/>
      <c r="K42" s="19"/>
      <c r="L42" s="19"/>
      <c r="M42" s="20" t="str">
        <f aca="false">IF(G42="","",IF(G42&lt;=Preço!$C$7,Preço!$B$7,IF(G42&lt;=Preço!$C$8,Preço!$B$8,IF(G42&lt;=Preço!$C$9,Preço!$B$9,Preço!$B$10))))</f>
        <v/>
      </c>
      <c r="N42" s="21" t="str">
        <f aca="false">IF(G42="","",Preço!$D$7+MAX(0,MIN(G42,Preço!$C$8)-Preço!$C$7)*Preço!$D$8+MAX(0,MIN(G42,Preço!$C$9)-Preço!$C$8)*Preço!$D$9+MAX(0,G42-Preço!$C$9)*Preço!$D$10)</f>
        <v/>
      </c>
      <c r="O42" s="21" t="str">
        <f aca="false">IF(G42="","",N42*12)</f>
        <v/>
      </c>
      <c r="P42" s="19"/>
    </row>
    <row r="43" customFormat="false" ht="15" hidden="false" customHeight="false" outlineLevel="0" collapsed="false">
      <c r="B43" s="10" t="n">
        <v>37</v>
      </c>
      <c r="C43" s="19"/>
      <c r="D43" s="19"/>
      <c r="E43" s="19"/>
      <c r="F43" s="19"/>
      <c r="G43" s="7"/>
      <c r="H43" s="7"/>
      <c r="I43" s="19"/>
      <c r="J43" s="19"/>
      <c r="K43" s="19"/>
      <c r="L43" s="19"/>
      <c r="M43" s="20" t="str">
        <f aca="false">IF(G43="","",IF(G43&lt;=Preço!$C$7,Preço!$B$7,IF(G43&lt;=Preço!$C$8,Preço!$B$8,IF(G43&lt;=Preço!$C$9,Preço!$B$9,Preço!$B$10))))</f>
        <v/>
      </c>
      <c r="N43" s="21" t="str">
        <f aca="false">IF(G43="","",Preço!$D$7+MAX(0,MIN(G43,Preço!$C$8)-Preço!$C$7)*Preço!$D$8+MAX(0,MIN(G43,Preço!$C$9)-Preço!$C$8)*Preço!$D$9+MAX(0,G43-Preço!$C$9)*Preço!$D$10)</f>
        <v/>
      </c>
      <c r="O43" s="21" t="str">
        <f aca="false">IF(G43="","",N43*12)</f>
        <v/>
      </c>
      <c r="P43" s="19"/>
    </row>
    <row r="44" customFormat="false" ht="15" hidden="false" customHeight="false" outlineLevel="0" collapsed="false">
      <c r="B44" s="10" t="n">
        <v>38</v>
      </c>
      <c r="C44" s="19"/>
      <c r="D44" s="19"/>
      <c r="E44" s="19"/>
      <c r="F44" s="19"/>
      <c r="G44" s="7"/>
      <c r="H44" s="7"/>
      <c r="I44" s="19"/>
      <c r="J44" s="19"/>
      <c r="K44" s="19"/>
      <c r="L44" s="19"/>
      <c r="M44" s="20" t="str">
        <f aca="false">IF(G44="","",IF(G44&lt;=Preço!$C$7,Preço!$B$7,IF(G44&lt;=Preço!$C$8,Preço!$B$8,IF(G44&lt;=Preço!$C$9,Preço!$B$9,Preço!$B$10))))</f>
        <v/>
      </c>
      <c r="N44" s="21" t="str">
        <f aca="false">IF(G44="","",Preço!$D$7+MAX(0,MIN(G44,Preço!$C$8)-Preço!$C$7)*Preço!$D$8+MAX(0,MIN(G44,Preço!$C$9)-Preço!$C$8)*Preço!$D$9+MAX(0,G44-Preço!$C$9)*Preço!$D$10)</f>
        <v/>
      </c>
      <c r="O44" s="21" t="str">
        <f aca="false">IF(G44="","",N44*12)</f>
        <v/>
      </c>
      <c r="P44" s="19"/>
    </row>
    <row r="45" customFormat="false" ht="15" hidden="false" customHeight="false" outlineLevel="0" collapsed="false">
      <c r="B45" s="10" t="n">
        <v>39</v>
      </c>
      <c r="C45" s="19"/>
      <c r="D45" s="19"/>
      <c r="E45" s="19"/>
      <c r="F45" s="19"/>
      <c r="G45" s="7"/>
      <c r="H45" s="7"/>
      <c r="I45" s="19"/>
      <c r="J45" s="19"/>
      <c r="K45" s="19"/>
      <c r="L45" s="19"/>
      <c r="M45" s="20" t="str">
        <f aca="false">IF(G45="","",IF(G45&lt;=Preço!$C$7,Preço!$B$7,IF(G45&lt;=Preço!$C$8,Preço!$B$8,IF(G45&lt;=Preço!$C$9,Preço!$B$9,Preço!$B$10))))</f>
        <v/>
      </c>
      <c r="N45" s="21" t="str">
        <f aca="false">IF(G45="","",Preço!$D$7+MAX(0,MIN(G45,Preço!$C$8)-Preço!$C$7)*Preço!$D$8+MAX(0,MIN(G45,Preço!$C$9)-Preço!$C$8)*Preço!$D$9+MAX(0,G45-Preço!$C$9)*Preço!$D$10)</f>
        <v/>
      </c>
      <c r="O45" s="21" t="str">
        <f aca="false">IF(G45="","",N45*12)</f>
        <v/>
      </c>
      <c r="P45" s="19"/>
    </row>
    <row r="46" customFormat="false" ht="15" hidden="false" customHeight="false" outlineLevel="0" collapsed="false">
      <c r="B46" s="10" t="n">
        <v>40</v>
      </c>
      <c r="C46" s="19"/>
      <c r="D46" s="19"/>
      <c r="E46" s="19"/>
      <c r="F46" s="19"/>
      <c r="G46" s="7"/>
      <c r="H46" s="7"/>
      <c r="I46" s="19"/>
      <c r="J46" s="19"/>
      <c r="K46" s="19"/>
      <c r="L46" s="19"/>
      <c r="M46" s="20" t="str">
        <f aca="false">IF(G46="","",IF(G46&lt;=Preço!$C$7,Preço!$B$7,IF(G46&lt;=Preço!$C$8,Preço!$B$8,IF(G46&lt;=Preço!$C$9,Preço!$B$9,Preço!$B$10))))</f>
        <v/>
      </c>
      <c r="N46" s="21" t="str">
        <f aca="false">IF(G46="","",Preço!$D$7+MAX(0,MIN(G46,Preço!$C$8)-Preço!$C$7)*Preço!$D$8+MAX(0,MIN(G46,Preço!$C$9)-Preço!$C$8)*Preço!$D$9+MAX(0,G46-Preço!$C$9)*Preço!$D$10)</f>
        <v/>
      </c>
      <c r="O46" s="21" t="str">
        <f aca="false">IF(G46="","",N46*12)</f>
        <v/>
      </c>
      <c r="P46" s="19"/>
    </row>
    <row r="47" customFormat="false" ht="15" hidden="false" customHeight="false" outlineLevel="0" collapsed="false">
      <c r="B47" s="10" t="n">
        <v>41</v>
      </c>
      <c r="C47" s="19"/>
      <c r="D47" s="19"/>
      <c r="E47" s="19"/>
      <c r="F47" s="19"/>
      <c r="G47" s="7"/>
      <c r="H47" s="7"/>
      <c r="I47" s="19"/>
      <c r="J47" s="19"/>
      <c r="K47" s="19"/>
      <c r="L47" s="19"/>
      <c r="M47" s="20" t="str">
        <f aca="false">IF(G47="","",IF(G47&lt;=Preço!$C$7,Preço!$B$7,IF(G47&lt;=Preço!$C$8,Preço!$B$8,IF(G47&lt;=Preço!$C$9,Preço!$B$9,Preço!$B$10))))</f>
        <v/>
      </c>
      <c r="N47" s="21" t="str">
        <f aca="false">IF(G47="","",Preço!$D$7+MAX(0,MIN(G47,Preço!$C$8)-Preço!$C$7)*Preço!$D$8+MAX(0,MIN(G47,Preço!$C$9)-Preço!$C$8)*Preço!$D$9+MAX(0,G47-Preço!$C$9)*Preço!$D$10)</f>
        <v/>
      </c>
      <c r="O47" s="21" t="str">
        <f aca="false">IF(G47="","",N47*12)</f>
        <v/>
      </c>
      <c r="P47" s="19"/>
    </row>
    <row r="48" customFormat="false" ht="15" hidden="false" customHeight="false" outlineLevel="0" collapsed="false">
      <c r="B48" s="10" t="n">
        <v>42</v>
      </c>
      <c r="C48" s="19"/>
      <c r="D48" s="19"/>
      <c r="E48" s="19"/>
      <c r="F48" s="19"/>
      <c r="G48" s="7"/>
      <c r="H48" s="7"/>
      <c r="I48" s="19"/>
      <c r="J48" s="19"/>
      <c r="K48" s="19"/>
      <c r="L48" s="19"/>
      <c r="M48" s="20" t="str">
        <f aca="false">IF(G48="","",IF(G48&lt;=Preço!$C$7,Preço!$B$7,IF(G48&lt;=Preço!$C$8,Preço!$B$8,IF(G48&lt;=Preço!$C$9,Preço!$B$9,Preço!$B$10))))</f>
        <v/>
      </c>
      <c r="N48" s="21" t="str">
        <f aca="false">IF(G48="","",Preço!$D$7+MAX(0,MIN(G48,Preço!$C$8)-Preço!$C$7)*Preço!$D$8+MAX(0,MIN(G48,Preço!$C$9)-Preço!$C$8)*Preço!$D$9+MAX(0,G48-Preço!$C$9)*Preço!$D$10)</f>
        <v/>
      </c>
      <c r="O48" s="21" t="str">
        <f aca="false">IF(G48="","",N48*12)</f>
        <v/>
      </c>
      <c r="P48" s="19"/>
    </row>
    <row r="49" customFormat="false" ht="15" hidden="false" customHeight="false" outlineLevel="0" collapsed="false">
      <c r="B49" s="10" t="n">
        <v>43</v>
      </c>
      <c r="C49" s="19"/>
      <c r="D49" s="19"/>
      <c r="E49" s="19"/>
      <c r="F49" s="19"/>
      <c r="G49" s="7"/>
      <c r="H49" s="7"/>
      <c r="I49" s="19"/>
      <c r="J49" s="19"/>
      <c r="K49" s="19"/>
      <c r="L49" s="19"/>
      <c r="M49" s="20" t="str">
        <f aca="false">IF(G49="","",IF(G49&lt;=Preço!$C$7,Preço!$B$7,IF(G49&lt;=Preço!$C$8,Preço!$B$8,IF(G49&lt;=Preço!$C$9,Preço!$B$9,Preço!$B$10))))</f>
        <v/>
      </c>
      <c r="N49" s="21" t="str">
        <f aca="false">IF(G49="","",Preço!$D$7+MAX(0,MIN(G49,Preço!$C$8)-Preço!$C$7)*Preço!$D$8+MAX(0,MIN(G49,Preço!$C$9)-Preço!$C$8)*Preço!$D$9+MAX(0,G49-Preço!$C$9)*Preço!$D$10)</f>
        <v/>
      </c>
      <c r="O49" s="21" t="str">
        <f aca="false">IF(G49="","",N49*12)</f>
        <v/>
      </c>
      <c r="P49" s="19"/>
    </row>
    <row r="50" customFormat="false" ht="15" hidden="false" customHeight="false" outlineLevel="0" collapsed="false">
      <c r="B50" s="10" t="n">
        <v>44</v>
      </c>
      <c r="C50" s="19"/>
      <c r="D50" s="19"/>
      <c r="E50" s="19"/>
      <c r="F50" s="19"/>
      <c r="G50" s="7"/>
      <c r="H50" s="7"/>
      <c r="I50" s="19"/>
      <c r="J50" s="19"/>
      <c r="K50" s="19"/>
      <c r="L50" s="19"/>
      <c r="M50" s="20" t="str">
        <f aca="false">IF(G50="","",IF(G50&lt;=Preço!$C$7,Preço!$B$7,IF(G50&lt;=Preço!$C$8,Preço!$B$8,IF(G50&lt;=Preço!$C$9,Preço!$B$9,Preço!$B$10))))</f>
        <v/>
      </c>
      <c r="N50" s="21" t="str">
        <f aca="false">IF(G50="","",Preço!$D$7+MAX(0,MIN(G50,Preço!$C$8)-Preço!$C$7)*Preço!$D$8+MAX(0,MIN(G50,Preço!$C$9)-Preço!$C$8)*Preço!$D$9+MAX(0,G50-Preço!$C$9)*Preço!$D$10)</f>
        <v/>
      </c>
      <c r="O50" s="21" t="str">
        <f aca="false">IF(G50="","",N50*12)</f>
        <v/>
      </c>
      <c r="P50" s="19"/>
    </row>
    <row r="51" customFormat="false" ht="15" hidden="false" customHeight="false" outlineLevel="0" collapsed="false">
      <c r="B51" s="10" t="n">
        <v>45</v>
      </c>
      <c r="C51" s="19"/>
      <c r="D51" s="19"/>
      <c r="E51" s="19"/>
      <c r="F51" s="19"/>
      <c r="G51" s="7"/>
      <c r="H51" s="7"/>
      <c r="I51" s="19"/>
      <c r="J51" s="19"/>
      <c r="K51" s="19"/>
      <c r="L51" s="19"/>
      <c r="M51" s="20" t="str">
        <f aca="false">IF(G51="","",IF(G51&lt;=Preço!$C$7,Preço!$B$7,IF(G51&lt;=Preço!$C$8,Preço!$B$8,IF(G51&lt;=Preço!$C$9,Preço!$B$9,Preço!$B$10))))</f>
        <v/>
      </c>
      <c r="N51" s="21" t="str">
        <f aca="false">IF(G51="","",Preço!$D$7+MAX(0,MIN(G51,Preço!$C$8)-Preço!$C$7)*Preço!$D$8+MAX(0,MIN(G51,Preço!$C$9)-Preço!$C$8)*Preço!$D$9+MAX(0,G51-Preço!$C$9)*Preço!$D$10)</f>
        <v/>
      </c>
      <c r="O51" s="21" t="str">
        <f aca="false">IF(G51="","",N51*12)</f>
        <v/>
      </c>
      <c r="P51" s="19"/>
    </row>
    <row r="52" customFormat="false" ht="15" hidden="false" customHeight="false" outlineLevel="0" collapsed="false">
      <c r="B52" s="10" t="n">
        <v>46</v>
      </c>
      <c r="C52" s="19"/>
      <c r="D52" s="19"/>
      <c r="E52" s="19"/>
      <c r="F52" s="19"/>
      <c r="G52" s="7"/>
      <c r="H52" s="7"/>
      <c r="I52" s="19"/>
      <c r="J52" s="19"/>
      <c r="K52" s="19"/>
      <c r="L52" s="19"/>
      <c r="M52" s="20" t="str">
        <f aca="false">IF(G52="","",IF(G52&lt;=Preço!$C$7,Preço!$B$7,IF(G52&lt;=Preço!$C$8,Preço!$B$8,IF(G52&lt;=Preço!$C$9,Preço!$B$9,Preço!$B$10))))</f>
        <v/>
      </c>
      <c r="N52" s="21" t="str">
        <f aca="false">IF(G52="","",Preço!$D$7+MAX(0,MIN(G52,Preço!$C$8)-Preço!$C$7)*Preço!$D$8+MAX(0,MIN(G52,Preço!$C$9)-Preço!$C$8)*Preço!$D$9+MAX(0,G52-Preço!$C$9)*Preço!$D$10)</f>
        <v/>
      </c>
      <c r="O52" s="21" t="str">
        <f aca="false">IF(G52="","",N52*12)</f>
        <v/>
      </c>
      <c r="P52" s="19"/>
    </row>
    <row r="53" customFormat="false" ht="15" hidden="false" customHeight="false" outlineLevel="0" collapsed="false">
      <c r="B53" s="10" t="n">
        <v>47</v>
      </c>
      <c r="C53" s="19"/>
      <c r="D53" s="19"/>
      <c r="E53" s="19"/>
      <c r="F53" s="19"/>
      <c r="G53" s="7"/>
      <c r="H53" s="7"/>
      <c r="I53" s="19"/>
      <c r="J53" s="19"/>
      <c r="K53" s="19"/>
      <c r="L53" s="19"/>
      <c r="M53" s="20" t="str">
        <f aca="false">IF(G53="","",IF(G53&lt;=Preço!$C$7,Preço!$B$7,IF(G53&lt;=Preço!$C$8,Preço!$B$8,IF(G53&lt;=Preço!$C$9,Preço!$B$9,Preço!$B$10))))</f>
        <v/>
      </c>
      <c r="N53" s="21" t="str">
        <f aca="false">IF(G53="","",Preço!$D$7+MAX(0,MIN(G53,Preço!$C$8)-Preço!$C$7)*Preço!$D$8+MAX(0,MIN(G53,Preço!$C$9)-Preço!$C$8)*Preço!$D$9+MAX(0,G53-Preço!$C$9)*Preço!$D$10)</f>
        <v/>
      </c>
      <c r="O53" s="21" t="str">
        <f aca="false">IF(G53="","",N53*12)</f>
        <v/>
      </c>
      <c r="P53" s="19"/>
    </row>
    <row r="54" customFormat="false" ht="15" hidden="false" customHeight="false" outlineLevel="0" collapsed="false">
      <c r="B54" s="10" t="n">
        <v>48</v>
      </c>
      <c r="C54" s="19"/>
      <c r="D54" s="19"/>
      <c r="E54" s="19"/>
      <c r="F54" s="19"/>
      <c r="G54" s="7"/>
      <c r="H54" s="7"/>
      <c r="I54" s="19"/>
      <c r="J54" s="19"/>
      <c r="K54" s="19"/>
      <c r="L54" s="19"/>
      <c r="M54" s="20" t="str">
        <f aca="false">IF(G54="","",IF(G54&lt;=Preço!$C$7,Preço!$B$7,IF(G54&lt;=Preço!$C$8,Preço!$B$8,IF(G54&lt;=Preço!$C$9,Preço!$B$9,Preço!$B$10))))</f>
        <v/>
      </c>
      <c r="N54" s="21" t="str">
        <f aca="false">IF(G54="","",Preço!$D$7+MAX(0,MIN(G54,Preço!$C$8)-Preço!$C$7)*Preço!$D$8+MAX(0,MIN(G54,Preço!$C$9)-Preço!$C$8)*Preço!$D$9+MAX(0,G54-Preço!$C$9)*Preço!$D$10)</f>
        <v/>
      </c>
      <c r="O54" s="21" t="str">
        <f aca="false">IF(G54="","",N54*12)</f>
        <v/>
      </c>
      <c r="P54" s="19"/>
    </row>
    <row r="55" customFormat="false" ht="15" hidden="false" customHeight="false" outlineLevel="0" collapsed="false">
      <c r="B55" s="10" t="n">
        <v>49</v>
      </c>
      <c r="C55" s="19"/>
      <c r="D55" s="19"/>
      <c r="E55" s="19"/>
      <c r="F55" s="19"/>
      <c r="G55" s="7"/>
      <c r="H55" s="7"/>
      <c r="I55" s="19"/>
      <c r="J55" s="19"/>
      <c r="K55" s="19"/>
      <c r="L55" s="19"/>
      <c r="M55" s="20" t="str">
        <f aca="false">IF(G55="","",IF(G55&lt;=Preço!$C$7,Preço!$B$7,IF(G55&lt;=Preço!$C$8,Preço!$B$8,IF(G55&lt;=Preço!$C$9,Preço!$B$9,Preço!$B$10))))</f>
        <v/>
      </c>
      <c r="N55" s="21" t="str">
        <f aca="false">IF(G55="","",Preço!$D$7+MAX(0,MIN(G55,Preço!$C$8)-Preço!$C$7)*Preço!$D$8+MAX(0,MIN(G55,Preço!$C$9)-Preço!$C$8)*Preço!$D$9+MAX(0,G55-Preço!$C$9)*Preço!$D$10)</f>
        <v/>
      </c>
      <c r="O55" s="21" t="str">
        <f aca="false">IF(G55="","",N55*12)</f>
        <v/>
      </c>
      <c r="P55" s="19"/>
    </row>
    <row r="56" customFormat="false" ht="15" hidden="false" customHeight="false" outlineLevel="0" collapsed="false">
      <c r="B56" s="10" t="n">
        <v>50</v>
      </c>
      <c r="C56" s="19"/>
      <c r="D56" s="19"/>
      <c r="E56" s="19"/>
      <c r="F56" s="19"/>
      <c r="G56" s="7"/>
      <c r="H56" s="7"/>
      <c r="I56" s="19"/>
      <c r="J56" s="19"/>
      <c r="K56" s="19"/>
      <c r="L56" s="19"/>
      <c r="M56" s="20" t="str">
        <f aca="false">IF(G56="","",IF(G56&lt;=Preço!$C$7,Preço!$B$7,IF(G56&lt;=Preço!$C$8,Preço!$B$8,IF(G56&lt;=Preço!$C$9,Preço!$B$9,Preço!$B$10))))</f>
        <v/>
      </c>
      <c r="N56" s="21" t="str">
        <f aca="false">IF(G56="","",Preço!$D$7+MAX(0,MIN(G56,Preço!$C$8)-Preço!$C$7)*Preço!$D$8+MAX(0,MIN(G56,Preço!$C$9)-Preço!$C$8)*Preço!$D$9+MAX(0,G56-Preço!$C$9)*Preço!$D$10)</f>
        <v/>
      </c>
      <c r="O56" s="21" t="str">
        <f aca="false">IF(G56="","",N56*12)</f>
        <v/>
      </c>
      <c r="P56" s="19"/>
    </row>
    <row r="57" customFormat="false" ht="15" hidden="false" customHeight="false" outlineLevel="0" collapsed="false">
      <c r="B57" s="10" t="n">
        <v>51</v>
      </c>
      <c r="C57" s="19"/>
      <c r="D57" s="19"/>
      <c r="E57" s="19"/>
      <c r="F57" s="19"/>
      <c r="G57" s="7"/>
      <c r="H57" s="7"/>
      <c r="I57" s="19"/>
      <c r="J57" s="19"/>
      <c r="K57" s="19"/>
      <c r="L57" s="19"/>
      <c r="M57" s="20" t="str">
        <f aca="false">IF(G57="","",IF(G57&lt;=Preço!$C$7,Preço!$B$7,IF(G57&lt;=Preço!$C$8,Preço!$B$8,IF(G57&lt;=Preço!$C$9,Preço!$B$9,Preço!$B$10))))</f>
        <v/>
      </c>
      <c r="N57" s="21" t="str">
        <f aca="false">IF(G57="","",Preço!$D$7+MAX(0,MIN(G57,Preço!$C$8)-Preço!$C$7)*Preço!$D$8+MAX(0,MIN(G57,Preço!$C$9)-Preço!$C$8)*Preço!$D$9+MAX(0,G57-Preço!$C$9)*Preço!$D$10)</f>
        <v/>
      </c>
      <c r="O57" s="21" t="str">
        <f aca="false">IF(G57="","",N57*12)</f>
        <v/>
      </c>
      <c r="P57" s="19"/>
    </row>
    <row r="58" customFormat="false" ht="15" hidden="false" customHeight="false" outlineLevel="0" collapsed="false">
      <c r="B58" s="10" t="n">
        <v>52</v>
      </c>
      <c r="C58" s="19"/>
      <c r="D58" s="19"/>
      <c r="E58" s="19"/>
      <c r="F58" s="19"/>
      <c r="G58" s="7"/>
      <c r="H58" s="7"/>
      <c r="I58" s="19"/>
      <c r="J58" s="19"/>
      <c r="K58" s="19"/>
      <c r="L58" s="19"/>
      <c r="M58" s="20" t="str">
        <f aca="false">IF(G58="","",IF(G58&lt;=Preço!$C$7,Preço!$B$7,IF(G58&lt;=Preço!$C$8,Preço!$B$8,IF(G58&lt;=Preço!$C$9,Preço!$B$9,Preço!$B$10))))</f>
        <v/>
      </c>
      <c r="N58" s="21" t="str">
        <f aca="false">IF(G58="","",Preço!$D$7+MAX(0,MIN(G58,Preço!$C$8)-Preço!$C$7)*Preço!$D$8+MAX(0,MIN(G58,Preço!$C$9)-Preço!$C$8)*Preço!$D$9+MAX(0,G58-Preço!$C$9)*Preço!$D$10)</f>
        <v/>
      </c>
      <c r="O58" s="21" t="str">
        <f aca="false">IF(G58="","",N58*12)</f>
        <v/>
      </c>
      <c r="P58" s="19"/>
    </row>
    <row r="59" customFormat="false" ht="15" hidden="false" customHeight="false" outlineLevel="0" collapsed="false">
      <c r="B59" s="10" t="n">
        <v>53</v>
      </c>
      <c r="C59" s="19"/>
      <c r="D59" s="19"/>
      <c r="E59" s="19"/>
      <c r="F59" s="19"/>
      <c r="G59" s="7"/>
      <c r="H59" s="7"/>
      <c r="I59" s="19"/>
      <c r="J59" s="19"/>
      <c r="K59" s="19"/>
      <c r="L59" s="19"/>
      <c r="M59" s="20" t="str">
        <f aca="false">IF(G59="","",IF(G59&lt;=Preço!$C$7,Preço!$B$7,IF(G59&lt;=Preço!$C$8,Preço!$B$8,IF(G59&lt;=Preço!$C$9,Preço!$B$9,Preço!$B$10))))</f>
        <v/>
      </c>
      <c r="N59" s="21" t="str">
        <f aca="false">IF(G59="","",Preço!$D$7+MAX(0,MIN(G59,Preço!$C$8)-Preço!$C$7)*Preço!$D$8+MAX(0,MIN(G59,Preço!$C$9)-Preço!$C$8)*Preço!$D$9+MAX(0,G59-Preço!$C$9)*Preço!$D$10)</f>
        <v/>
      </c>
      <c r="O59" s="21" t="str">
        <f aca="false">IF(G59="","",N59*12)</f>
        <v/>
      </c>
      <c r="P59" s="19"/>
    </row>
    <row r="60" customFormat="false" ht="15" hidden="false" customHeight="false" outlineLevel="0" collapsed="false">
      <c r="B60" s="10" t="n">
        <v>54</v>
      </c>
      <c r="C60" s="19"/>
      <c r="D60" s="19"/>
      <c r="E60" s="19"/>
      <c r="F60" s="19"/>
      <c r="G60" s="7"/>
      <c r="H60" s="7"/>
      <c r="I60" s="19"/>
      <c r="J60" s="19"/>
      <c r="K60" s="19"/>
      <c r="L60" s="19"/>
      <c r="M60" s="20" t="str">
        <f aca="false">IF(G60="","",IF(G60&lt;=Preço!$C$7,Preço!$B$7,IF(G60&lt;=Preço!$C$8,Preço!$B$8,IF(G60&lt;=Preço!$C$9,Preço!$B$9,Preço!$B$10))))</f>
        <v/>
      </c>
      <c r="N60" s="21" t="str">
        <f aca="false">IF(G60="","",Preço!$D$7+MAX(0,MIN(G60,Preço!$C$8)-Preço!$C$7)*Preço!$D$8+MAX(0,MIN(G60,Preço!$C$9)-Preço!$C$8)*Preço!$D$9+MAX(0,G60-Preço!$C$9)*Preço!$D$10)</f>
        <v/>
      </c>
      <c r="O60" s="21" t="str">
        <f aca="false">IF(G60="","",N60*12)</f>
        <v/>
      </c>
      <c r="P60" s="19"/>
    </row>
    <row r="61" customFormat="false" ht="15" hidden="false" customHeight="false" outlineLevel="0" collapsed="false">
      <c r="B61" s="10" t="n">
        <v>55</v>
      </c>
      <c r="C61" s="19"/>
      <c r="D61" s="19"/>
      <c r="E61" s="19"/>
      <c r="F61" s="19"/>
      <c r="G61" s="7"/>
      <c r="H61" s="7"/>
      <c r="I61" s="19"/>
      <c r="J61" s="19"/>
      <c r="K61" s="19"/>
      <c r="L61" s="19"/>
      <c r="M61" s="20" t="str">
        <f aca="false">IF(G61="","",IF(G61&lt;=Preço!$C$7,Preço!$B$7,IF(G61&lt;=Preço!$C$8,Preço!$B$8,IF(G61&lt;=Preço!$C$9,Preço!$B$9,Preço!$B$10))))</f>
        <v/>
      </c>
      <c r="N61" s="21" t="str">
        <f aca="false">IF(G61="","",Preço!$D$7+MAX(0,MIN(G61,Preço!$C$8)-Preço!$C$7)*Preço!$D$8+MAX(0,MIN(G61,Preço!$C$9)-Preço!$C$8)*Preço!$D$9+MAX(0,G61-Preço!$C$9)*Preço!$D$10)</f>
        <v/>
      </c>
      <c r="O61" s="21" t="str">
        <f aca="false">IF(G61="","",N61*12)</f>
        <v/>
      </c>
      <c r="P61" s="19"/>
    </row>
    <row r="62" customFormat="false" ht="15" hidden="false" customHeight="false" outlineLevel="0" collapsed="false">
      <c r="B62" s="10" t="n">
        <v>56</v>
      </c>
      <c r="C62" s="19"/>
      <c r="D62" s="19"/>
      <c r="E62" s="19"/>
      <c r="F62" s="19"/>
      <c r="G62" s="7"/>
      <c r="H62" s="7"/>
      <c r="I62" s="19"/>
      <c r="J62" s="19"/>
      <c r="K62" s="19"/>
      <c r="L62" s="19"/>
      <c r="M62" s="20" t="str">
        <f aca="false">IF(G62="","",IF(G62&lt;=Preço!$C$7,Preço!$B$7,IF(G62&lt;=Preço!$C$8,Preço!$B$8,IF(G62&lt;=Preço!$C$9,Preço!$B$9,Preço!$B$10))))</f>
        <v/>
      </c>
      <c r="N62" s="21" t="str">
        <f aca="false">IF(G62="","",Preço!$D$7+MAX(0,MIN(G62,Preço!$C$8)-Preço!$C$7)*Preço!$D$8+MAX(0,MIN(G62,Preço!$C$9)-Preço!$C$8)*Preço!$D$9+MAX(0,G62-Preço!$C$9)*Preço!$D$10)</f>
        <v/>
      </c>
      <c r="O62" s="21" t="str">
        <f aca="false">IF(G62="","",N62*12)</f>
        <v/>
      </c>
      <c r="P62" s="19"/>
    </row>
    <row r="63" customFormat="false" ht="15" hidden="false" customHeight="false" outlineLevel="0" collapsed="false">
      <c r="B63" s="10" t="n">
        <v>57</v>
      </c>
      <c r="C63" s="19"/>
      <c r="D63" s="19"/>
      <c r="E63" s="19"/>
      <c r="F63" s="19"/>
      <c r="G63" s="7"/>
      <c r="H63" s="7"/>
      <c r="I63" s="19"/>
      <c r="J63" s="19"/>
      <c r="K63" s="19"/>
      <c r="L63" s="19"/>
      <c r="M63" s="20" t="str">
        <f aca="false">IF(G63="","",IF(G63&lt;=Preço!$C$7,Preço!$B$7,IF(G63&lt;=Preço!$C$8,Preço!$B$8,IF(G63&lt;=Preço!$C$9,Preço!$B$9,Preço!$B$10))))</f>
        <v/>
      </c>
      <c r="N63" s="21" t="str">
        <f aca="false">IF(G63="","",Preço!$D$7+MAX(0,MIN(G63,Preço!$C$8)-Preço!$C$7)*Preço!$D$8+MAX(0,MIN(G63,Preço!$C$9)-Preço!$C$8)*Preço!$D$9+MAX(0,G63-Preço!$C$9)*Preço!$D$10)</f>
        <v/>
      </c>
      <c r="O63" s="21" t="str">
        <f aca="false">IF(G63="","",N63*12)</f>
        <v/>
      </c>
      <c r="P63" s="19"/>
    </row>
    <row r="64" customFormat="false" ht="15" hidden="false" customHeight="false" outlineLevel="0" collapsed="false">
      <c r="B64" s="10" t="n">
        <v>58</v>
      </c>
      <c r="C64" s="19"/>
      <c r="D64" s="19"/>
      <c r="E64" s="19"/>
      <c r="F64" s="19"/>
      <c r="G64" s="7"/>
      <c r="H64" s="7"/>
      <c r="I64" s="19"/>
      <c r="J64" s="19"/>
      <c r="K64" s="19"/>
      <c r="L64" s="19"/>
      <c r="M64" s="20" t="str">
        <f aca="false">IF(G64="","",IF(G64&lt;=Preço!$C$7,Preço!$B$7,IF(G64&lt;=Preço!$C$8,Preço!$B$8,IF(G64&lt;=Preço!$C$9,Preço!$B$9,Preço!$B$10))))</f>
        <v/>
      </c>
      <c r="N64" s="21" t="str">
        <f aca="false">IF(G64="","",Preço!$D$7+MAX(0,MIN(G64,Preço!$C$8)-Preço!$C$7)*Preço!$D$8+MAX(0,MIN(G64,Preço!$C$9)-Preço!$C$8)*Preço!$D$9+MAX(0,G64-Preço!$C$9)*Preço!$D$10)</f>
        <v/>
      </c>
      <c r="O64" s="21" t="str">
        <f aca="false">IF(G64="","",N64*12)</f>
        <v/>
      </c>
      <c r="P64" s="19"/>
    </row>
    <row r="65" customFormat="false" ht="15" hidden="false" customHeight="false" outlineLevel="0" collapsed="false">
      <c r="B65" s="10" t="n">
        <v>59</v>
      </c>
      <c r="C65" s="19"/>
      <c r="D65" s="19"/>
      <c r="E65" s="19"/>
      <c r="F65" s="19"/>
      <c r="G65" s="7"/>
      <c r="H65" s="7"/>
      <c r="I65" s="19"/>
      <c r="J65" s="19"/>
      <c r="K65" s="19"/>
      <c r="L65" s="19"/>
      <c r="M65" s="20" t="str">
        <f aca="false">IF(G65="","",IF(G65&lt;=Preço!$C$7,Preço!$B$7,IF(G65&lt;=Preço!$C$8,Preço!$B$8,IF(G65&lt;=Preço!$C$9,Preço!$B$9,Preço!$B$10))))</f>
        <v/>
      </c>
      <c r="N65" s="21" t="str">
        <f aca="false">IF(G65="","",Preço!$D$7+MAX(0,MIN(G65,Preço!$C$8)-Preço!$C$7)*Preço!$D$8+MAX(0,MIN(G65,Preço!$C$9)-Preço!$C$8)*Preço!$D$9+MAX(0,G65-Preço!$C$9)*Preço!$D$10)</f>
        <v/>
      </c>
      <c r="O65" s="21" t="str">
        <f aca="false">IF(G65="","",N65*12)</f>
        <v/>
      </c>
      <c r="P65" s="19"/>
    </row>
    <row r="66" customFormat="false" ht="15" hidden="false" customHeight="false" outlineLevel="0" collapsed="false">
      <c r="B66" s="10" t="n">
        <v>60</v>
      </c>
      <c r="C66" s="19"/>
      <c r="D66" s="19"/>
      <c r="E66" s="19"/>
      <c r="F66" s="19"/>
      <c r="G66" s="7"/>
      <c r="H66" s="7"/>
      <c r="I66" s="19"/>
      <c r="J66" s="19"/>
      <c r="K66" s="19"/>
      <c r="L66" s="19"/>
      <c r="M66" s="20" t="str">
        <f aca="false">IF(G66="","",IF(G66&lt;=Preço!$C$7,Preço!$B$7,IF(G66&lt;=Preço!$C$8,Preço!$B$8,IF(G66&lt;=Preço!$C$9,Preço!$B$9,Preço!$B$10))))</f>
        <v/>
      </c>
      <c r="N66" s="21" t="str">
        <f aca="false">IF(G66="","",Preço!$D$7+MAX(0,MIN(G66,Preço!$C$8)-Preço!$C$7)*Preço!$D$8+MAX(0,MIN(G66,Preço!$C$9)-Preço!$C$8)*Preço!$D$9+MAX(0,G66-Preço!$C$9)*Preço!$D$10)</f>
        <v/>
      </c>
      <c r="O66" s="21" t="str">
        <f aca="false">IF(G66="","",N66*12)</f>
        <v/>
      </c>
      <c r="P66" s="19"/>
    </row>
    <row r="67" customFormat="false" ht="15" hidden="false" customHeight="false" outlineLevel="0" collapsed="false">
      <c r="B67" s="10" t="n">
        <v>61</v>
      </c>
      <c r="C67" s="19"/>
      <c r="D67" s="19"/>
      <c r="E67" s="19"/>
      <c r="F67" s="19"/>
      <c r="G67" s="7"/>
      <c r="H67" s="7"/>
      <c r="I67" s="19"/>
      <c r="J67" s="19"/>
      <c r="K67" s="19"/>
      <c r="L67" s="19"/>
      <c r="M67" s="20" t="str">
        <f aca="false">IF(G67="","",IF(G67&lt;=Preço!$C$7,Preço!$B$7,IF(G67&lt;=Preço!$C$8,Preço!$B$8,IF(G67&lt;=Preço!$C$9,Preço!$B$9,Preço!$B$10))))</f>
        <v/>
      </c>
      <c r="N67" s="21" t="str">
        <f aca="false">IF(G67="","",Preço!$D$7+MAX(0,MIN(G67,Preço!$C$8)-Preço!$C$7)*Preço!$D$8+MAX(0,MIN(G67,Preço!$C$9)-Preço!$C$8)*Preço!$D$9+MAX(0,G67-Preço!$C$9)*Preço!$D$10)</f>
        <v/>
      </c>
      <c r="O67" s="21" t="str">
        <f aca="false">IF(G67="","",N67*12)</f>
        <v/>
      </c>
      <c r="P67" s="19"/>
    </row>
    <row r="68" customFormat="false" ht="15" hidden="false" customHeight="false" outlineLevel="0" collapsed="false">
      <c r="B68" s="10" t="n">
        <v>62</v>
      </c>
      <c r="C68" s="19"/>
      <c r="D68" s="19"/>
      <c r="E68" s="19"/>
      <c r="F68" s="19"/>
      <c r="G68" s="7"/>
      <c r="H68" s="7"/>
      <c r="I68" s="19"/>
      <c r="J68" s="19"/>
      <c r="K68" s="19"/>
      <c r="L68" s="19"/>
      <c r="M68" s="20" t="str">
        <f aca="false">IF(G68="","",IF(G68&lt;=Preço!$C$7,Preço!$B$7,IF(G68&lt;=Preço!$C$8,Preço!$B$8,IF(G68&lt;=Preço!$C$9,Preço!$B$9,Preço!$B$10))))</f>
        <v/>
      </c>
      <c r="N68" s="21" t="str">
        <f aca="false">IF(G68="","",Preço!$D$7+MAX(0,MIN(G68,Preço!$C$8)-Preço!$C$7)*Preço!$D$8+MAX(0,MIN(G68,Preço!$C$9)-Preço!$C$8)*Preço!$D$9+MAX(0,G68-Preço!$C$9)*Preço!$D$10)</f>
        <v/>
      </c>
      <c r="O68" s="21" t="str">
        <f aca="false">IF(G68="","",N68*12)</f>
        <v/>
      </c>
      <c r="P68" s="19"/>
    </row>
    <row r="69" customFormat="false" ht="15" hidden="false" customHeight="false" outlineLevel="0" collapsed="false">
      <c r="B69" s="10" t="n">
        <v>63</v>
      </c>
      <c r="C69" s="19"/>
      <c r="D69" s="19"/>
      <c r="E69" s="19"/>
      <c r="F69" s="19"/>
      <c r="G69" s="7"/>
      <c r="H69" s="7"/>
      <c r="I69" s="19"/>
      <c r="J69" s="19"/>
      <c r="K69" s="19"/>
      <c r="L69" s="19"/>
      <c r="M69" s="20" t="str">
        <f aca="false">IF(G69="","",IF(G69&lt;=Preço!$C$7,Preço!$B$7,IF(G69&lt;=Preço!$C$8,Preço!$B$8,IF(G69&lt;=Preço!$C$9,Preço!$B$9,Preço!$B$10))))</f>
        <v/>
      </c>
      <c r="N69" s="21" t="str">
        <f aca="false">IF(G69="","",Preço!$D$7+MAX(0,MIN(G69,Preço!$C$8)-Preço!$C$7)*Preço!$D$8+MAX(0,MIN(G69,Preço!$C$9)-Preço!$C$8)*Preço!$D$9+MAX(0,G69-Preço!$C$9)*Preço!$D$10)</f>
        <v/>
      </c>
      <c r="O69" s="21" t="str">
        <f aca="false">IF(G69="","",N69*12)</f>
        <v/>
      </c>
      <c r="P69" s="19"/>
    </row>
    <row r="70" customFormat="false" ht="15" hidden="false" customHeight="false" outlineLevel="0" collapsed="false">
      <c r="B70" s="10" t="n">
        <v>64</v>
      </c>
      <c r="C70" s="19"/>
      <c r="D70" s="19"/>
      <c r="E70" s="19"/>
      <c r="F70" s="19"/>
      <c r="G70" s="7"/>
      <c r="H70" s="7"/>
      <c r="I70" s="19"/>
      <c r="J70" s="19"/>
      <c r="K70" s="19"/>
      <c r="L70" s="19"/>
      <c r="M70" s="20" t="str">
        <f aca="false">IF(G70="","",IF(G70&lt;=Preço!$C$7,Preço!$B$7,IF(G70&lt;=Preço!$C$8,Preço!$B$8,IF(G70&lt;=Preço!$C$9,Preço!$B$9,Preço!$B$10))))</f>
        <v/>
      </c>
      <c r="N70" s="21" t="str">
        <f aca="false">IF(G70="","",Preço!$D$7+MAX(0,MIN(G70,Preço!$C$8)-Preço!$C$7)*Preço!$D$8+MAX(0,MIN(G70,Preço!$C$9)-Preço!$C$8)*Preço!$D$9+MAX(0,G70-Preço!$C$9)*Preço!$D$10)</f>
        <v/>
      </c>
      <c r="O70" s="21" t="str">
        <f aca="false">IF(G70="","",N70*12)</f>
        <v/>
      </c>
      <c r="P70" s="19"/>
    </row>
    <row r="71" customFormat="false" ht="15" hidden="false" customHeight="false" outlineLevel="0" collapsed="false">
      <c r="B71" s="10" t="n">
        <v>65</v>
      </c>
      <c r="C71" s="19"/>
      <c r="D71" s="19"/>
      <c r="E71" s="19"/>
      <c r="F71" s="19"/>
      <c r="G71" s="7"/>
      <c r="H71" s="7"/>
      <c r="I71" s="19"/>
      <c r="J71" s="19"/>
      <c r="K71" s="19"/>
      <c r="L71" s="19"/>
      <c r="M71" s="20" t="str">
        <f aca="false">IF(G71="","",IF(G71&lt;=Preço!$C$7,Preço!$B$7,IF(G71&lt;=Preço!$C$8,Preço!$B$8,IF(G71&lt;=Preço!$C$9,Preço!$B$9,Preço!$B$10))))</f>
        <v/>
      </c>
      <c r="N71" s="21" t="str">
        <f aca="false">IF(G71="","",Preço!$D$7+MAX(0,MIN(G71,Preço!$C$8)-Preço!$C$7)*Preço!$D$8+MAX(0,MIN(G71,Preço!$C$9)-Preço!$C$8)*Preço!$D$9+MAX(0,G71-Preço!$C$9)*Preço!$D$10)</f>
        <v/>
      </c>
      <c r="O71" s="21" t="str">
        <f aca="false">IF(G71="","",N71*12)</f>
        <v/>
      </c>
      <c r="P71" s="19"/>
    </row>
    <row r="72" customFormat="false" ht="15" hidden="false" customHeight="false" outlineLevel="0" collapsed="false">
      <c r="B72" s="10" t="n">
        <v>66</v>
      </c>
      <c r="C72" s="19"/>
      <c r="D72" s="19"/>
      <c r="E72" s="19"/>
      <c r="F72" s="19"/>
      <c r="G72" s="7"/>
      <c r="H72" s="7"/>
      <c r="I72" s="19"/>
      <c r="J72" s="19"/>
      <c r="K72" s="19"/>
      <c r="L72" s="19"/>
      <c r="M72" s="20" t="str">
        <f aca="false">IF(G72="","",IF(G72&lt;=Preço!$C$7,Preço!$B$7,IF(G72&lt;=Preço!$C$8,Preço!$B$8,IF(G72&lt;=Preço!$C$9,Preço!$B$9,Preço!$B$10))))</f>
        <v/>
      </c>
      <c r="N72" s="21" t="str">
        <f aca="false">IF(G72="","",Preço!$D$7+MAX(0,MIN(G72,Preço!$C$8)-Preço!$C$7)*Preço!$D$8+MAX(0,MIN(G72,Preço!$C$9)-Preço!$C$8)*Preço!$D$9+MAX(0,G72-Preço!$C$9)*Preço!$D$10)</f>
        <v/>
      </c>
      <c r="O72" s="21" t="str">
        <f aca="false">IF(G72="","",N72*12)</f>
        <v/>
      </c>
      <c r="P72" s="19"/>
    </row>
    <row r="73" customFormat="false" ht="15" hidden="false" customHeight="false" outlineLevel="0" collapsed="false">
      <c r="B73" s="10" t="n">
        <v>67</v>
      </c>
      <c r="C73" s="19"/>
      <c r="D73" s="19"/>
      <c r="E73" s="19"/>
      <c r="F73" s="19"/>
      <c r="G73" s="7"/>
      <c r="H73" s="7"/>
      <c r="I73" s="19"/>
      <c r="J73" s="19"/>
      <c r="K73" s="19"/>
      <c r="L73" s="19"/>
      <c r="M73" s="20" t="str">
        <f aca="false">IF(G73="","",IF(G73&lt;=Preço!$C$7,Preço!$B$7,IF(G73&lt;=Preço!$C$8,Preço!$B$8,IF(G73&lt;=Preço!$C$9,Preço!$B$9,Preço!$B$10))))</f>
        <v/>
      </c>
      <c r="N73" s="21" t="str">
        <f aca="false">IF(G73="","",Preço!$D$7+MAX(0,MIN(G73,Preço!$C$8)-Preço!$C$7)*Preço!$D$8+MAX(0,MIN(G73,Preço!$C$9)-Preço!$C$8)*Preço!$D$9+MAX(0,G73-Preço!$C$9)*Preço!$D$10)</f>
        <v/>
      </c>
      <c r="O73" s="21" t="str">
        <f aca="false">IF(G73="","",N73*12)</f>
        <v/>
      </c>
      <c r="P73" s="19"/>
    </row>
    <row r="74" customFormat="false" ht="15" hidden="false" customHeight="false" outlineLevel="0" collapsed="false">
      <c r="B74" s="10" t="n">
        <v>68</v>
      </c>
      <c r="C74" s="19"/>
      <c r="D74" s="19"/>
      <c r="E74" s="19"/>
      <c r="F74" s="19"/>
      <c r="G74" s="7"/>
      <c r="H74" s="7"/>
      <c r="I74" s="19"/>
      <c r="J74" s="19"/>
      <c r="K74" s="19"/>
      <c r="L74" s="19"/>
      <c r="M74" s="20" t="str">
        <f aca="false">IF(G74="","",IF(G74&lt;=Preço!$C$7,Preço!$B$7,IF(G74&lt;=Preço!$C$8,Preço!$B$8,IF(G74&lt;=Preço!$C$9,Preço!$B$9,Preço!$B$10))))</f>
        <v/>
      </c>
      <c r="N74" s="21" t="str">
        <f aca="false">IF(G74="","",Preço!$D$7+MAX(0,MIN(G74,Preço!$C$8)-Preço!$C$7)*Preço!$D$8+MAX(0,MIN(G74,Preço!$C$9)-Preço!$C$8)*Preço!$D$9+MAX(0,G74-Preço!$C$9)*Preço!$D$10)</f>
        <v/>
      </c>
      <c r="O74" s="21" t="str">
        <f aca="false">IF(G74="","",N74*12)</f>
        <v/>
      </c>
      <c r="P74" s="19"/>
    </row>
    <row r="75" customFormat="false" ht="15" hidden="false" customHeight="false" outlineLevel="0" collapsed="false">
      <c r="B75" s="10" t="n">
        <v>69</v>
      </c>
      <c r="C75" s="19"/>
      <c r="D75" s="19"/>
      <c r="E75" s="19"/>
      <c r="F75" s="19"/>
      <c r="G75" s="7"/>
      <c r="H75" s="7"/>
      <c r="I75" s="19"/>
      <c r="J75" s="19"/>
      <c r="K75" s="19"/>
      <c r="L75" s="19"/>
      <c r="M75" s="20" t="str">
        <f aca="false">IF(G75="","",IF(G75&lt;=Preço!$C$7,Preço!$B$7,IF(G75&lt;=Preço!$C$8,Preço!$B$8,IF(G75&lt;=Preço!$C$9,Preço!$B$9,Preço!$B$10))))</f>
        <v/>
      </c>
      <c r="N75" s="21" t="str">
        <f aca="false">IF(G75="","",Preço!$D$7+MAX(0,MIN(G75,Preço!$C$8)-Preço!$C$7)*Preço!$D$8+MAX(0,MIN(G75,Preço!$C$9)-Preço!$C$8)*Preço!$D$9+MAX(0,G75-Preço!$C$9)*Preço!$D$10)</f>
        <v/>
      </c>
      <c r="O75" s="21" t="str">
        <f aca="false">IF(G75="","",N75*12)</f>
        <v/>
      </c>
      <c r="P75" s="19"/>
    </row>
    <row r="76" customFormat="false" ht="15" hidden="false" customHeight="false" outlineLevel="0" collapsed="false">
      <c r="B76" s="10" t="n">
        <v>70</v>
      </c>
      <c r="C76" s="19"/>
      <c r="D76" s="19"/>
      <c r="E76" s="19"/>
      <c r="F76" s="19"/>
      <c r="G76" s="7"/>
      <c r="H76" s="7"/>
      <c r="I76" s="19"/>
      <c r="J76" s="19"/>
      <c r="K76" s="19"/>
      <c r="L76" s="19"/>
      <c r="M76" s="20" t="str">
        <f aca="false">IF(G76="","",IF(G76&lt;=Preço!$C$7,Preço!$B$7,IF(G76&lt;=Preço!$C$8,Preço!$B$8,IF(G76&lt;=Preço!$C$9,Preço!$B$9,Preço!$B$10))))</f>
        <v/>
      </c>
      <c r="N76" s="21" t="str">
        <f aca="false">IF(G76="","",Preço!$D$7+MAX(0,MIN(G76,Preço!$C$8)-Preço!$C$7)*Preço!$D$8+MAX(0,MIN(G76,Preço!$C$9)-Preço!$C$8)*Preço!$D$9+MAX(0,G76-Preço!$C$9)*Preço!$D$10)</f>
        <v/>
      </c>
      <c r="O76" s="21" t="str">
        <f aca="false">IF(G76="","",N76*12)</f>
        <v/>
      </c>
      <c r="P76" s="19"/>
    </row>
    <row r="77" customFormat="false" ht="15" hidden="false" customHeight="false" outlineLevel="0" collapsed="false">
      <c r="B77" s="10" t="n">
        <v>71</v>
      </c>
      <c r="C77" s="19"/>
      <c r="D77" s="19"/>
      <c r="E77" s="19"/>
      <c r="F77" s="19"/>
      <c r="G77" s="7"/>
      <c r="H77" s="7"/>
      <c r="I77" s="19"/>
      <c r="J77" s="19"/>
      <c r="K77" s="19"/>
      <c r="L77" s="19"/>
      <c r="M77" s="20" t="str">
        <f aca="false">IF(G77="","",IF(G77&lt;=Preço!$C$7,Preço!$B$7,IF(G77&lt;=Preço!$C$8,Preço!$B$8,IF(G77&lt;=Preço!$C$9,Preço!$B$9,Preço!$B$10))))</f>
        <v/>
      </c>
      <c r="N77" s="21" t="str">
        <f aca="false">IF(G77="","",Preço!$D$7+MAX(0,MIN(G77,Preço!$C$8)-Preço!$C$7)*Preço!$D$8+MAX(0,MIN(G77,Preço!$C$9)-Preço!$C$8)*Preço!$D$9+MAX(0,G77-Preço!$C$9)*Preço!$D$10)</f>
        <v/>
      </c>
      <c r="O77" s="21" t="str">
        <f aca="false">IF(G77="","",N77*12)</f>
        <v/>
      </c>
      <c r="P77" s="19"/>
    </row>
    <row r="78" customFormat="false" ht="15" hidden="false" customHeight="false" outlineLevel="0" collapsed="false">
      <c r="B78" s="10" t="n">
        <v>72</v>
      </c>
      <c r="C78" s="19"/>
      <c r="D78" s="19"/>
      <c r="E78" s="19"/>
      <c r="F78" s="19"/>
      <c r="G78" s="7"/>
      <c r="H78" s="7"/>
      <c r="I78" s="19"/>
      <c r="J78" s="19"/>
      <c r="K78" s="19"/>
      <c r="L78" s="19"/>
      <c r="M78" s="20" t="str">
        <f aca="false">IF(G78="","",IF(G78&lt;=Preço!$C$7,Preço!$B$7,IF(G78&lt;=Preço!$C$8,Preço!$B$8,IF(G78&lt;=Preço!$C$9,Preço!$B$9,Preço!$B$10))))</f>
        <v/>
      </c>
      <c r="N78" s="21" t="str">
        <f aca="false">IF(G78="","",Preço!$D$7+MAX(0,MIN(G78,Preço!$C$8)-Preço!$C$7)*Preço!$D$8+MAX(0,MIN(G78,Preço!$C$9)-Preço!$C$8)*Preço!$D$9+MAX(0,G78-Preço!$C$9)*Preço!$D$10)</f>
        <v/>
      </c>
      <c r="O78" s="21" t="str">
        <f aca="false">IF(G78="","",N78*12)</f>
        <v/>
      </c>
      <c r="P78" s="19"/>
    </row>
    <row r="79" customFormat="false" ht="15" hidden="false" customHeight="false" outlineLevel="0" collapsed="false">
      <c r="B79" s="10" t="n">
        <v>73</v>
      </c>
      <c r="C79" s="19"/>
      <c r="D79" s="19"/>
      <c r="E79" s="19"/>
      <c r="F79" s="19"/>
      <c r="G79" s="7"/>
      <c r="H79" s="7"/>
      <c r="I79" s="19"/>
      <c r="J79" s="19"/>
      <c r="K79" s="19"/>
      <c r="L79" s="19"/>
      <c r="M79" s="20" t="str">
        <f aca="false">IF(G79="","",IF(G79&lt;=Preço!$C$7,Preço!$B$7,IF(G79&lt;=Preço!$C$8,Preço!$B$8,IF(G79&lt;=Preço!$C$9,Preço!$B$9,Preço!$B$10))))</f>
        <v/>
      </c>
      <c r="N79" s="21" t="str">
        <f aca="false">IF(G79="","",Preço!$D$7+MAX(0,MIN(G79,Preço!$C$8)-Preço!$C$7)*Preço!$D$8+MAX(0,MIN(G79,Preço!$C$9)-Preço!$C$8)*Preço!$D$9+MAX(0,G79-Preço!$C$9)*Preço!$D$10)</f>
        <v/>
      </c>
      <c r="O79" s="21" t="str">
        <f aca="false">IF(G79="","",N79*12)</f>
        <v/>
      </c>
      <c r="P79" s="19"/>
    </row>
    <row r="80" customFormat="false" ht="15" hidden="false" customHeight="false" outlineLevel="0" collapsed="false">
      <c r="B80" s="10" t="n">
        <v>74</v>
      </c>
      <c r="C80" s="19"/>
      <c r="D80" s="19"/>
      <c r="E80" s="19"/>
      <c r="F80" s="19"/>
      <c r="G80" s="7"/>
      <c r="H80" s="7"/>
      <c r="I80" s="19"/>
      <c r="J80" s="19"/>
      <c r="K80" s="19"/>
      <c r="L80" s="19"/>
      <c r="M80" s="20" t="str">
        <f aca="false">IF(G80="","",IF(G80&lt;=Preço!$C$7,Preço!$B$7,IF(G80&lt;=Preço!$C$8,Preço!$B$8,IF(G80&lt;=Preço!$C$9,Preço!$B$9,Preço!$B$10))))</f>
        <v/>
      </c>
      <c r="N80" s="21" t="str">
        <f aca="false">IF(G80="","",Preço!$D$7+MAX(0,MIN(G80,Preço!$C$8)-Preço!$C$7)*Preço!$D$8+MAX(0,MIN(G80,Preço!$C$9)-Preço!$C$8)*Preço!$D$9+MAX(0,G80-Preço!$C$9)*Preço!$D$10)</f>
        <v/>
      </c>
      <c r="O80" s="21" t="str">
        <f aca="false">IF(G80="","",N80*12)</f>
        <v/>
      </c>
      <c r="P80" s="19"/>
    </row>
    <row r="81" customFormat="false" ht="15" hidden="false" customHeight="false" outlineLevel="0" collapsed="false">
      <c r="B81" s="10" t="n">
        <v>75</v>
      </c>
      <c r="C81" s="19"/>
      <c r="D81" s="19"/>
      <c r="E81" s="19"/>
      <c r="F81" s="19"/>
      <c r="G81" s="7"/>
      <c r="H81" s="7"/>
      <c r="I81" s="19"/>
      <c r="J81" s="19"/>
      <c r="K81" s="19"/>
      <c r="L81" s="19"/>
      <c r="M81" s="20" t="str">
        <f aca="false">IF(G81="","",IF(G81&lt;=Preço!$C$7,Preço!$B$7,IF(G81&lt;=Preço!$C$8,Preço!$B$8,IF(G81&lt;=Preço!$C$9,Preço!$B$9,Preço!$B$10))))</f>
        <v/>
      </c>
      <c r="N81" s="21" t="str">
        <f aca="false">IF(G81="","",Preço!$D$7+MAX(0,MIN(G81,Preço!$C$8)-Preço!$C$7)*Preço!$D$8+MAX(0,MIN(G81,Preço!$C$9)-Preço!$C$8)*Preço!$D$9+MAX(0,G81-Preço!$C$9)*Preço!$D$10)</f>
        <v/>
      </c>
      <c r="O81" s="21" t="str">
        <f aca="false">IF(G81="","",N81*12)</f>
        <v/>
      </c>
      <c r="P81" s="19"/>
    </row>
    <row r="82" customFormat="false" ht="15" hidden="false" customHeight="false" outlineLevel="0" collapsed="false">
      <c r="B82" s="10" t="n">
        <v>76</v>
      </c>
      <c r="C82" s="19"/>
      <c r="D82" s="19"/>
      <c r="E82" s="19"/>
      <c r="F82" s="19"/>
      <c r="G82" s="7"/>
      <c r="H82" s="7"/>
      <c r="I82" s="19"/>
      <c r="J82" s="19"/>
      <c r="K82" s="19"/>
      <c r="L82" s="19"/>
      <c r="M82" s="20" t="str">
        <f aca="false">IF(G82="","",IF(G82&lt;=Preço!$C$7,Preço!$B$7,IF(G82&lt;=Preço!$C$8,Preço!$B$8,IF(G82&lt;=Preço!$C$9,Preço!$B$9,Preço!$B$10))))</f>
        <v/>
      </c>
      <c r="N82" s="21" t="str">
        <f aca="false">IF(G82="","",Preço!$D$7+MAX(0,MIN(G82,Preço!$C$8)-Preço!$C$7)*Preço!$D$8+MAX(0,MIN(G82,Preço!$C$9)-Preço!$C$8)*Preço!$D$9+MAX(0,G82-Preço!$C$9)*Preço!$D$10)</f>
        <v/>
      </c>
      <c r="O82" s="21" t="str">
        <f aca="false">IF(G82="","",N82*12)</f>
        <v/>
      </c>
      <c r="P82" s="19"/>
    </row>
    <row r="83" customFormat="false" ht="15" hidden="false" customHeight="false" outlineLevel="0" collapsed="false">
      <c r="B83" s="10" t="n">
        <v>77</v>
      </c>
      <c r="C83" s="19"/>
      <c r="D83" s="19"/>
      <c r="E83" s="19"/>
      <c r="F83" s="19"/>
      <c r="G83" s="7"/>
      <c r="H83" s="7"/>
      <c r="I83" s="19"/>
      <c r="J83" s="19"/>
      <c r="K83" s="19"/>
      <c r="L83" s="19"/>
      <c r="M83" s="20" t="str">
        <f aca="false">IF(G83="","",IF(G83&lt;=Preço!$C$7,Preço!$B$7,IF(G83&lt;=Preço!$C$8,Preço!$B$8,IF(G83&lt;=Preço!$C$9,Preço!$B$9,Preço!$B$10))))</f>
        <v/>
      </c>
      <c r="N83" s="21" t="str">
        <f aca="false">IF(G83="","",Preço!$D$7+MAX(0,MIN(G83,Preço!$C$8)-Preço!$C$7)*Preço!$D$8+MAX(0,MIN(G83,Preço!$C$9)-Preço!$C$8)*Preço!$D$9+MAX(0,G83-Preço!$C$9)*Preço!$D$10)</f>
        <v/>
      </c>
      <c r="O83" s="21" t="str">
        <f aca="false">IF(G83="","",N83*12)</f>
        <v/>
      </c>
      <c r="P83" s="19"/>
    </row>
    <row r="84" customFormat="false" ht="15" hidden="false" customHeight="false" outlineLevel="0" collapsed="false">
      <c r="B84" s="10" t="n">
        <v>78</v>
      </c>
      <c r="C84" s="19"/>
      <c r="D84" s="19"/>
      <c r="E84" s="19"/>
      <c r="F84" s="19"/>
      <c r="G84" s="7"/>
      <c r="H84" s="7"/>
      <c r="I84" s="19"/>
      <c r="J84" s="19"/>
      <c r="K84" s="19"/>
      <c r="L84" s="19"/>
      <c r="M84" s="20" t="str">
        <f aca="false">IF(G84="","",IF(G84&lt;=Preço!$C$7,Preço!$B$7,IF(G84&lt;=Preço!$C$8,Preço!$B$8,IF(G84&lt;=Preço!$C$9,Preço!$B$9,Preço!$B$10))))</f>
        <v/>
      </c>
      <c r="N84" s="21" t="str">
        <f aca="false">IF(G84="","",Preço!$D$7+MAX(0,MIN(G84,Preço!$C$8)-Preço!$C$7)*Preço!$D$8+MAX(0,MIN(G84,Preço!$C$9)-Preço!$C$8)*Preço!$D$9+MAX(0,G84-Preço!$C$9)*Preço!$D$10)</f>
        <v/>
      </c>
      <c r="O84" s="21" t="str">
        <f aca="false">IF(G84="","",N84*12)</f>
        <v/>
      </c>
      <c r="P84" s="19"/>
    </row>
    <row r="85" customFormat="false" ht="15" hidden="false" customHeight="false" outlineLevel="0" collapsed="false">
      <c r="B85" s="10" t="n">
        <v>79</v>
      </c>
      <c r="C85" s="19"/>
      <c r="D85" s="19"/>
      <c r="E85" s="19"/>
      <c r="F85" s="19"/>
      <c r="G85" s="7"/>
      <c r="H85" s="7"/>
      <c r="I85" s="19"/>
      <c r="J85" s="19"/>
      <c r="K85" s="19"/>
      <c r="L85" s="19"/>
      <c r="M85" s="20" t="str">
        <f aca="false">IF(G85="","",IF(G85&lt;=Preço!$C$7,Preço!$B$7,IF(G85&lt;=Preço!$C$8,Preço!$B$8,IF(G85&lt;=Preço!$C$9,Preço!$B$9,Preço!$B$10))))</f>
        <v/>
      </c>
      <c r="N85" s="21" t="str">
        <f aca="false">IF(G85="","",Preço!$D$7+MAX(0,MIN(G85,Preço!$C$8)-Preço!$C$7)*Preço!$D$8+MAX(0,MIN(G85,Preço!$C$9)-Preço!$C$8)*Preço!$D$9+MAX(0,G85-Preço!$C$9)*Preço!$D$10)</f>
        <v/>
      </c>
      <c r="O85" s="21" t="str">
        <f aca="false">IF(G85="","",N85*12)</f>
        <v/>
      </c>
      <c r="P85" s="19"/>
    </row>
    <row r="86" customFormat="false" ht="15" hidden="false" customHeight="false" outlineLevel="0" collapsed="false">
      <c r="B86" s="10" t="n">
        <v>80</v>
      </c>
      <c r="C86" s="19"/>
      <c r="D86" s="19"/>
      <c r="E86" s="19"/>
      <c r="F86" s="19"/>
      <c r="G86" s="7"/>
      <c r="H86" s="7"/>
      <c r="I86" s="19"/>
      <c r="J86" s="19"/>
      <c r="K86" s="19"/>
      <c r="L86" s="19"/>
      <c r="M86" s="20" t="str">
        <f aca="false">IF(G86="","",IF(G86&lt;=Preço!$C$7,Preço!$B$7,IF(G86&lt;=Preço!$C$8,Preço!$B$8,IF(G86&lt;=Preço!$C$9,Preço!$B$9,Preço!$B$10))))</f>
        <v/>
      </c>
      <c r="N86" s="21" t="str">
        <f aca="false">IF(G86="","",Preço!$D$7+MAX(0,MIN(G86,Preço!$C$8)-Preço!$C$7)*Preço!$D$8+MAX(0,MIN(G86,Preço!$C$9)-Preço!$C$8)*Preço!$D$9+MAX(0,G86-Preço!$C$9)*Preço!$D$10)</f>
        <v/>
      </c>
      <c r="O86" s="21" t="str">
        <f aca="false">IF(G86="","",N86*12)</f>
        <v/>
      </c>
      <c r="P86" s="19"/>
    </row>
    <row r="87" customFormat="false" ht="15" hidden="false" customHeight="false" outlineLevel="0" collapsed="false">
      <c r="B87" s="10" t="n">
        <v>81</v>
      </c>
      <c r="C87" s="19"/>
      <c r="D87" s="19"/>
      <c r="E87" s="19"/>
      <c r="F87" s="19"/>
      <c r="G87" s="7"/>
      <c r="H87" s="7"/>
      <c r="I87" s="19"/>
      <c r="J87" s="19"/>
      <c r="K87" s="19"/>
      <c r="L87" s="19"/>
      <c r="M87" s="20" t="str">
        <f aca="false">IF(G87="","",IF(G87&lt;=Preço!$C$7,Preço!$B$7,IF(G87&lt;=Preço!$C$8,Preço!$B$8,IF(G87&lt;=Preço!$C$9,Preço!$B$9,Preço!$B$10))))</f>
        <v/>
      </c>
      <c r="N87" s="21" t="str">
        <f aca="false">IF(G87="","",Preço!$D$7+MAX(0,MIN(G87,Preço!$C$8)-Preço!$C$7)*Preço!$D$8+MAX(0,MIN(G87,Preço!$C$9)-Preço!$C$8)*Preço!$D$9+MAX(0,G87-Preço!$C$9)*Preço!$D$10)</f>
        <v/>
      </c>
      <c r="O87" s="21" t="str">
        <f aca="false">IF(G87="","",N87*12)</f>
        <v/>
      </c>
      <c r="P87" s="19"/>
    </row>
    <row r="88" customFormat="false" ht="15" hidden="false" customHeight="false" outlineLevel="0" collapsed="false">
      <c r="B88" s="10" t="n">
        <v>82</v>
      </c>
      <c r="C88" s="19"/>
      <c r="D88" s="19"/>
      <c r="E88" s="19"/>
      <c r="F88" s="19"/>
      <c r="G88" s="7"/>
      <c r="H88" s="7"/>
      <c r="I88" s="19"/>
      <c r="J88" s="19"/>
      <c r="K88" s="19"/>
      <c r="L88" s="19"/>
      <c r="M88" s="20" t="str">
        <f aca="false">IF(G88="","",IF(G88&lt;=Preço!$C$7,Preço!$B$7,IF(G88&lt;=Preço!$C$8,Preço!$B$8,IF(G88&lt;=Preço!$C$9,Preço!$B$9,Preço!$B$10))))</f>
        <v/>
      </c>
      <c r="N88" s="21" t="str">
        <f aca="false">IF(G88="","",Preço!$D$7+MAX(0,MIN(G88,Preço!$C$8)-Preço!$C$7)*Preço!$D$8+MAX(0,MIN(G88,Preço!$C$9)-Preço!$C$8)*Preço!$D$9+MAX(0,G88-Preço!$C$9)*Preço!$D$10)</f>
        <v/>
      </c>
      <c r="O88" s="21" t="str">
        <f aca="false">IF(G88="","",N88*12)</f>
        <v/>
      </c>
      <c r="P88" s="19"/>
    </row>
    <row r="89" customFormat="false" ht="15" hidden="false" customHeight="false" outlineLevel="0" collapsed="false">
      <c r="B89" s="10" t="n">
        <v>83</v>
      </c>
      <c r="C89" s="19"/>
      <c r="D89" s="19"/>
      <c r="E89" s="19"/>
      <c r="F89" s="19"/>
      <c r="G89" s="7"/>
      <c r="H89" s="7"/>
      <c r="I89" s="19"/>
      <c r="J89" s="19"/>
      <c r="K89" s="19"/>
      <c r="L89" s="19"/>
      <c r="M89" s="20" t="str">
        <f aca="false">IF(G89="","",IF(G89&lt;=Preço!$C$7,Preço!$B$7,IF(G89&lt;=Preço!$C$8,Preço!$B$8,IF(G89&lt;=Preço!$C$9,Preço!$B$9,Preço!$B$10))))</f>
        <v/>
      </c>
      <c r="N89" s="21" t="str">
        <f aca="false">IF(G89="","",Preço!$D$7+MAX(0,MIN(G89,Preço!$C$8)-Preço!$C$7)*Preço!$D$8+MAX(0,MIN(G89,Preço!$C$9)-Preço!$C$8)*Preço!$D$9+MAX(0,G89-Preço!$C$9)*Preço!$D$10)</f>
        <v/>
      </c>
      <c r="O89" s="21" t="str">
        <f aca="false">IF(G89="","",N89*12)</f>
        <v/>
      </c>
      <c r="P89" s="19"/>
    </row>
    <row r="90" customFormat="false" ht="15" hidden="false" customHeight="false" outlineLevel="0" collapsed="false">
      <c r="B90" s="10" t="n">
        <v>84</v>
      </c>
      <c r="C90" s="19"/>
      <c r="D90" s="19"/>
      <c r="E90" s="19"/>
      <c r="F90" s="19"/>
      <c r="G90" s="7"/>
      <c r="H90" s="7"/>
      <c r="I90" s="19"/>
      <c r="J90" s="19"/>
      <c r="K90" s="19"/>
      <c r="L90" s="19"/>
      <c r="M90" s="20" t="str">
        <f aca="false">IF(G90="","",IF(G90&lt;=Preço!$C$7,Preço!$B$7,IF(G90&lt;=Preço!$C$8,Preço!$B$8,IF(G90&lt;=Preço!$C$9,Preço!$B$9,Preço!$B$10))))</f>
        <v/>
      </c>
      <c r="N90" s="21" t="str">
        <f aca="false">IF(G90="","",Preço!$D$7+MAX(0,MIN(G90,Preço!$C$8)-Preço!$C$7)*Preço!$D$8+MAX(0,MIN(G90,Preço!$C$9)-Preço!$C$8)*Preço!$D$9+MAX(0,G90-Preço!$C$9)*Preço!$D$10)</f>
        <v/>
      </c>
      <c r="O90" s="21" t="str">
        <f aca="false">IF(G90="","",N90*12)</f>
        <v/>
      </c>
      <c r="P90" s="19"/>
    </row>
    <row r="91" customFormat="false" ht="15" hidden="false" customHeight="false" outlineLevel="0" collapsed="false">
      <c r="B91" s="10" t="n">
        <v>85</v>
      </c>
      <c r="C91" s="19"/>
      <c r="D91" s="19"/>
      <c r="E91" s="19"/>
      <c r="F91" s="19"/>
      <c r="G91" s="7"/>
      <c r="H91" s="7"/>
      <c r="I91" s="19"/>
      <c r="J91" s="19"/>
      <c r="K91" s="19"/>
      <c r="L91" s="19"/>
      <c r="M91" s="20" t="str">
        <f aca="false">IF(G91="","",IF(G91&lt;=Preço!$C$7,Preço!$B$7,IF(G91&lt;=Preço!$C$8,Preço!$B$8,IF(G91&lt;=Preço!$C$9,Preço!$B$9,Preço!$B$10))))</f>
        <v/>
      </c>
      <c r="N91" s="21" t="str">
        <f aca="false">IF(G91="","",Preço!$D$7+MAX(0,MIN(G91,Preço!$C$8)-Preço!$C$7)*Preço!$D$8+MAX(0,MIN(G91,Preço!$C$9)-Preço!$C$8)*Preço!$D$9+MAX(0,G91-Preço!$C$9)*Preço!$D$10)</f>
        <v/>
      </c>
      <c r="O91" s="21" t="str">
        <f aca="false">IF(G91="","",N91*12)</f>
        <v/>
      </c>
      <c r="P91" s="19"/>
    </row>
    <row r="92" customFormat="false" ht="15" hidden="false" customHeight="false" outlineLevel="0" collapsed="false">
      <c r="B92" s="10" t="n">
        <v>86</v>
      </c>
      <c r="C92" s="19"/>
      <c r="D92" s="19"/>
      <c r="E92" s="19"/>
      <c r="F92" s="19"/>
      <c r="G92" s="7"/>
      <c r="H92" s="7"/>
      <c r="I92" s="19"/>
      <c r="J92" s="19"/>
      <c r="K92" s="19"/>
      <c r="L92" s="19"/>
      <c r="M92" s="20" t="str">
        <f aca="false">IF(G92="","",IF(G92&lt;=Preço!$C$7,Preço!$B$7,IF(G92&lt;=Preço!$C$8,Preço!$B$8,IF(G92&lt;=Preço!$C$9,Preço!$B$9,Preço!$B$10))))</f>
        <v/>
      </c>
      <c r="N92" s="21" t="str">
        <f aca="false">IF(G92="","",Preço!$D$7+MAX(0,MIN(G92,Preço!$C$8)-Preço!$C$7)*Preço!$D$8+MAX(0,MIN(G92,Preço!$C$9)-Preço!$C$8)*Preço!$D$9+MAX(0,G92-Preço!$C$9)*Preço!$D$10)</f>
        <v/>
      </c>
      <c r="O92" s="21" t="str">
        <f aca="false">IF(G92="","",N92*12)</f>
        <v/>
      </c>
      <c r="P92" s="19"/>
    </row>
    <row r="93" customFormat="false" ht="15" hidden="false" customHeight="false" outlineLevel="0" collapsed="false">
      <c r="B93" s="10" t="n">
        <v>87</v>
      </c>
      <c r="C93" s="19"/>
      <c r="D93" s="19"/>
      <c r="E93" s="19"/>
      <c r="F93" s="19"/>
      <c r="G93" s="7"/>
      <c r="H93" s="7"/>
      <c r="I93" s="19"/>
      <c r="J93" s="19"/>
      <c r="K93" s="19"/>
      <c r="L93" s="19"/>
      <c r="M93" s="20" t="str">
        <f aca="false">IF(G93="","",IF(G93&lt;=Preço!$C$7,Preço!$B$7,IF(G93&lt;=Preço!$C$8,Preço!$B$8,IF(G93&lt;=Preço!$C$9,Preço!$B$9,Preço!$B$10))))</f>
        <v/>
      </c>
      <c r="N93" s="21" t="str">
        <f aca="false">IF(G93="","",Preço!$D$7+MAX(0,MIN(G93,Preço!$C$8)-Preço!$C$7)*Preço!$D$8+MAX(0,MIN(G93,Preço!$C$9)-Preço!$C$8)*Preço!$D$9+MAX(0,G93-Preço!$C$9)*Preço!$D$10)</f>
        <v/>
      </c>
      <c r="O93" s="21" t="str">
        <f aca="false">IF(G93="","",N93*12)</f>
        <v/>
      </c>
      <c r="P93" s="19"/>
    </row>
    <row r="94" customFormat="false" ht="15" hidden="false" customHeight="false" outlineLevel="0" collapsed="false">
      <c r="B94" s="10" t="n">
        <v>88</v>
      </c>
      <c r="C94" s="19"/>
      <c r="D94" s="19"/>
      <c r="E94" s="19"/>
      <c r="F94" s="19"/>
      <c r="G94" s="7"/>
      <c r="H94" s="7"/>
      <c r="I94" s="19"/>
      <c r="J94" s="19"/>
      <c r="K94" s="19"/>
      <c r="L94" s="19"/>
      <c r="M94" s="20" t="str">
        <f aca="false">IF(G94="","",IF(G94&lt;=Preço!$C$7,Preço!$B$7,IF(G94&lt;=Preço!$C$8,Preço!$B$8,IF(G94&lt;=Preço!$C$9,Preço!$B$9,Preço!$B$10))))</f>
        <v/>
      </c>
      <c r="N94" s="21" t="str">
        <f aca="false">IF(G94="","",Preço!$D$7+MAX(0,MIN(G94,Preço!$C$8)-Preço!$C$7)*Preço!$D$8+MAX(0,MIN(G94,Preço!$C$9)-Preço!$C$8)*Preço!$D$9+MAX(0,G94-Preço!$C$9)*Preço!$D$10)</f>
        <v/>
      </c>
      <c r="O94" s="21" t="str">
        <f aca="false">IF(G94="","",N94*12)</f>
        <v/>
      </c>
      <c r="P94" s="19"/>
    </row>
    <row r="95" customFormat="false" ht="15" hidden="false" customHeight="false" outlineLevel="0" collapsed="false">
      <c r="B95" s="10" t="n">
        <v>89</v>
      </c>
      <c r="C95" s="19"/>
      <c r="D95" s="19"/>
      <c r="E95" s="19"/>
      <c r="F95" s="19"/>
      <c r="G95" s="7"/>
      <c r="H95" s="7"/>
      <c r="I95" s="19"/>
      <c r="J95" s="19"/>
      <c r="K95" s="19"/>
      <c r="L95" s="19"/>
      <c r="M95" s="20" t="str">
        <f aca="false">IF(G95="","",IF(G95&lt;=Preço!$C$7,Preço!$B$7,IF(G95&lt;=Preço!$C$8,Preço!$B$8,IF(G95&lt;=Preço!$C$9,Preço!$B$9,Preço!$B$10))))</f>
        <v/>
      </c>
      <c r="N95" s="21" t="str">
        <f aca="false">IF(G95="","",Preço!$D$7+MAX(0,MIN(G95,Preço!$C$8)-Preço!$C$7)*Preço!$D$8+MAX(0,MIN(G95,Preço!$C$9)-Preço!$C$8)*Preço!$D$9+MAX(0,G95-Preço!$C$9)*Preço!$D$10)</f>
        <v/>
      </c>
      <c r="O95" s="21" t="str">
        <f aca="false">IF(G95="","",N95*12)</f>
        <v/>
      </c>
      <c r="P95" s="19"/>
    </row>
    <row r="96" customFormat="false" ht="15" hidden="false" customHeight="false" outlineLevel="0" collapsed="false">
      <c r="B96" s="10" t="n">
        <v>90</v>
      </c>
      <c r="C96" s="19"/>
      <c r="D96" s="19"/>
      <c r="E96" s="19"/>
      <c r="F96" s="19"/>
      <c r="G96" s="7"/>
      <c r="H96" s="7"/>
      <c r="I96" s="19"/>
      <c r="J96" s="19"/>
      <c r="K96" s="19"/>
      <c r="L96" s="19"/>
      <c r="M96" s="20" t="str">
        <f aca="false">IF(G96="","",IF(G96&lt;=Preço!$C$7,Preço!$B$7,IF(G96&lt;=Preço!$C$8,Preço!$B$8,IF(G96&lt;=Preço!$C$9,Preço!$B$9,Preço!$B$10))))</f>
        <v/>
      </c>
      <c r="N96" s="21" t="str">
        <f aca="false">IF(G96="","",Preço!$D$7+MAX(0,MIN(G96,Preço!$C$8)-Preço!$C$7)*Preço!$D$8+MAX(0,MIN(G96,Preço!$C$9)-Preço!$C$8)*Preço!$D$9+MAX(0,G96-Preço!$C$9)*Preço!$D$10)</f>
        <v/>
      </c>
      <c r="O96" s="21" t="str">
        <f aca="false">IF(G96="","",N96*12)</f>
        <v/>
      </c>
      <c r="P96" s="19"/>
    </row>
    <row r="97" customFormat="false" ht="15" hidden="false" customHeight="false" outlineLevel="0" collapsed="false">
      <c r="B97" s="10" t="n">
        <v>91</v>
      </c>
      <c r="C97" s="19"/>
      <c r="D97" s="19"/>
      <c r="E97" s="19"/>
      <c r="F97" s="19"/>
      <c r="G97" s="7"/>
      <c r="H97" s="7"/>
      <c r="I97" s="19"/>
      <c r="J97" s="19"/>
      <c r="K97" s="19"/>
      <c r="L97" s="19"/>
      <c r="M97" s="20" t="str">
        <f aca="false">IF(G97="","",IF(G97&lt;=Preço!$C$7,Preço!$B$7,IF(G97&lt;=Preço!$C$8,Preço!$B$8,IF(G97&lt;=Preço!$C$9,Preço!$B$9,Preço!$B$10))))</f>
        <v/>
      </c>
      <c r="N97" s="21" t="str">
        <f aca="false">IF(G97="","",Preço!$D$7+MAX(0,MIN(G97,Preço!$C$8)-Preço!$C$7)*Preço!$D$8+MAX(0,MIN(G97,Preço!$C$9)-Preço!$C$8)*Preço!$D$9+MAX(0,G97-Preço!$C$9)*Preço!$D$10)</f>
        <v/>
      </c>
      <c r="O97" s="21" t="str">
        <f aca="false">IF(G97="","",N97*12)</f>
        <v/>
      </c>
      <c r="P97" s="19"/>
    </row>
    <row r="98" customFormat="false" ht="15" hidden="false" customHeight="false" outlineLevel="0" collapsed="false">
      <c r="B98" s="10" t="n">
        <v>92</v>
      </c>
      <c r="C98" s="19"/>
      <c r="D98" s="19"/>
      <c r="E98" s="19"/>
      <c r="F98" s="19"/>
      <c r="G98" s="7"/>
      <c r="H98" s="7"/>
      <c r="I98" s="19"/>
      <c r="J98" s="19"/>
      <c r="K98" s="19"/>
      <c r="L98" s="19"/>
      <c r="M98" s="20" t="str">
        <f aca="false">IF(G98="","",IF(G98&lt;=Preço!$C$7,Preço!$B$7,IF(G98&lt;=Preço!$C$8,Preço!$B$8,IF(G98&lt;=Preço!$C$9,Preço!$B$9,Preço!$B$10))))</f>
        <v/>
      </c>
      <c r="N98" s="21" t="str">
        <f aca="false">IF(G98="","",Preço!$D$7+MAX(0,MIN(G98,Preço!$C$8)-Preço!$C$7)*Preço!$D$8+MAX(0,MIN(G98,Preço!$C$9)-Preço!$C$8)*Preço!$D$9+MAX(0,G98-Preço!$C$9)*Preço!$D$10)</f>
        <v/>
      </c>
      <c r="O98" s="21" t="str">
        <f aca="false">IF(G98="","",N98*12)</f>
        <v/>
      </c>
      <c r="P98" s="19"/>
    </row>
    <row r="99" customFormat="false" ht="15" hidden="false" customHeight="false" outlineLevel="0" collapsed="false">
      <c r="B99" s="10" t="n">
        <v>93</v>
      </c>
      <c r="C99" s="19"/>
      <c r="D99" s="19"/>
      <c r="E99" s="19"/>
      <c r="F99" s="19"/>
      <c r="G99" s="7"/>
      <c r="H99" s="7"/>
      <c r="I99" s="19"/>
      <c r="J99" s="19"/>
      <c r="K99" s="19"/>
      <c r="L99" s="19"/>
      <c r="M99" s="20" t="str">
        <f aca="false">IF(G99="","",IF(G99&lt;=Preço!$C$7,Preço!$B$7,IF(G99&lt;=Preço!$C$8,Preço!$B$8,IF(G99&lt;=Preço!$C$9,Preço!$B$9,Preço!$B$10))))</f>
        <v/>
      </c>
      <c r="N99" s="21" t="str">
        <f aca="false">IF(G99="","",Preço!$D$7+MAX(0,MIN(G99,Preço!$C$8)-Preço!$C$7)*Preço!$D$8+MAX(0,MIN(G99,Preço!$C$9)-Preço!$C$8)*Preço!$D$9+MAX(0,G99-Preço!$C$9)*Preço!$D$10)</f>
        <v/>
      </c>
      <c r="O99" s="21" t="str">
        <f aca="false">IF(G99="","",N99*12)</f>
        <v/>
      </c>
      <c r="P99" s="19"/>
    </row>
    <row r="100" customFormat="false" ht="15" hidden="false" customHeight="false" outlineLevel="0" collapsed="false">
      <c r="B100" s="10" t="n">
        <v>94</v>
      </c>
      <c r="C100" s="19"/>
      <c r="D100" s="19"/>
      <c r="E100" s="19"/>
      <c r="F100" s="19"/>
      <c r="G100" s="7"/>
      <c r="H100" s="7"/>
      <c r="I100" s="19"/>
      <c r="J100" s="19"/>
      <c r="K100" s="19"/>
      <c r="L100" s="19"/>
      <c r="M100" s="20" t="str">
        <f aca="false">IF(G100="","",IF(G100&lt;=Preço!$C$7,Preço!$B$7,IF(G100&lt;=Preço!$C$8,Preço!$B$8,IF(G100&lt;=Preço!$C$9,Preço!$B$9,Preço!$B$10))))</f>
        <v/>
      </c>
      <c r="N100" s="21" t="str">
        <f aca="false">IF(G100="","",Preço!$D$7+MAX(0,MIN(G100,Preço!$C$8)-Preço!$C$7)*Preço!$D$8+MAX(0,MIN(G100,Preço!$C$9)-Preço!$C$8)*Preço!$D$9+MAX(0,G100-Preço!$C$9)*Preço!$D$10)</f>
        <v/>
      </c>
      <c r="O100" s="21" t="str">
        <f aca="false">IF(G100="","",N100*12)</f>
        <v/>
      </c>
      <c r="P100" s="19"/>
    </row>
    <row r="101" customFormat="false" ht="15" hidden="false" customHeight="false" outlineLevel="0" collapsed="false">
      <c r="B101" s="10" t="n">
        <v>95</v>
      </c>
      <c r="C101" s="19"/>
      <c r="D101" s="19"/>
      <c r="E101" s="19"/>
      <c r="F101" s="19"/>
      <c r="G101" s="7"/>
      <c r="H101" s="7"/>
      <c r="I101" s="19"/>
      <c r="J101" s="19"/>
      <c r="K101" s="19"/>
      <c r="L101" s="19"/>
      <c r="M101" s="20" t="str">
        <f aca="false">IF(G101="","",IF(G101&lt;=Preço!$C$7,Preço!$B$7,IF(G101&lt;=Preço!$C$8,Preço!$B$8,IF(G101&lt;=Preço!$C$9,Preço!$B$9,Preço!$B$10))))</f>
        <v/>
      </c>
      <c r="N101" s="21" t="str">
        <f aca="false">IF(G101="","",Preço!$D$7+MAX(0,MIN(G101,Preço!$C$8)-Preço!$C$7)*Preço!$D$8+MAX(0,MIN(G101,Preço!$C$9)-Preço!$C$8)*Preço!$D$9+MAX(0,G101-Preço!$C$9)*Preço!$D$10)</f>
        <v/>
      </c>
      <c r="O101" s="21" t="str">
        <f aca="false">IF(G101="","",N101*12)</f>
        <v/>
      </c>
      <c r="P101" s="19"/>
    </row>
    <row r="102" customFormat="false" ht="15" hidden="false" customHeight="false" outlineLevel="0" collapsed="false">
      <c r="B102" s="10" t="n">
        <v>96</v>
      </c>
      <c r="C102" s="19"/>
      <c r="D102" s="19"/>
      <c r="E102" s="19"/>
      <c r="F102" s="19"/>
      <c r="G102" s="7"/>
      <c r="H102" s="7"/>
      <c r="I102" s="19"/>
      <c r="J102" s="19"/>
      <c r="K102" s="19"/>
      <c r="L102" s="19"/>
      <c r="M102" s="20" t="str">
        <f aca="false">IF(G102="","",IF(G102&lt;=Preço!$C$7,Preço!$B$7,IF(G102&lt;=Preço!$C$8,Preço!$B$8,IF(G102&lt;=Preço!$C$9,Preço!$B$9,Preço!$B$10))))</f>
        <v/>
      </c>
      <c r="N102" s="21" t="str">
        <f aca="false">IF(G102="","",Preço!$D$7+MAX(0,MIN(G102,Preço!$C$8)-Preço!$C$7)*Preço!$D$8+MAX(0,MIN(G102,Preço!$C$9)-Preço!$C$8)*Preço!$D$9+MAX(0,G102-Preço!$C$9)*Preço!$D$10)</f>
        <v/>
      </c>
      <c r="O102" s="21" t="str">
        <f aca="false">IF(G102="","",N102*12)</f>
        <v/>
      </c>
      <c r="P102" s="19"/>
    </row>
    <row r="103" customFormat="false" ht="15" hidden="false" customHeight="false" outlineLevel="0" collapsed="false">
      <c r="B103" s="10" t="n">
        <v>97</v>
      </c>
      <c r="C103" s="19"/>
      <c r="D103" s="19"/>
      <c r="E103" s="19"/>
      <c r="F103" s="19"/>
      <c r="G103" s="7"/>
      <c r="H103" s="7"/>
      <c r="I103" s="19"/>
      <c r="J103" s="19"/>
      <c r="K103" s="19"/>
      <c r="L103" s="19"/>
      <c r="M103" s="20" t="str">
        <f aca="false">IF(G103="","",IF(G103&lt;=Preço!$C$7,Preço!$B$7,IF(G103&lt;=Preço!$C$8,Preço!$B$8,IF(G103&lt;=Preço!$C$9,Preço!$B$9,Preço!$B$10))))</f>
        <v/>
      </c>
      <c r="N103" s="21" t="str">
        <f aca="false">IF(G103="","",Preço!$D$7+MAX(0,MIN(G103,Preço!$C$8)-Preço!$C$7)*Preço!$D$8+MAX(0,MIN(G103,Preço!$C$9)-Preço!$C$8)*Preço!$D$9+MAX(0,G103-Preço!$C$9)*Preço!$D$10)</f>
        <v/>
      </c>
      <c r="O103" s="21" t="str">
        <f aca="false">IF(G103="","",N103*12)</f>
        <v/>
      </c>
      <c r="P103" s="19"/>
    </row>
    <row r="104" customFormat="false" ht="15" hidden="false" customHeight="false" outlineLevel="0" collapsed="false">
      <c r="B104" s="10" t="n">
        <v>98</v>
      </c>
      <c r="C104" s="19"/>
      <c r="D104" s="19"/>
      <c r="E104" s="19"/>
      <c r="F104" s="19"/>
      <c r="G104" s="7"/>
      <c r="H104" s="7"/>
      <c r="I104" s="19"/>
      <c r="J104" s="19"/>
      <c r="K104" s="19"/>
      <c r="L104" s="19"/>
      <c r="M104" s="20" t="str">
        <f aca="false">IF(G104="","",IF(G104&lt;=Preço!$C$7,Preço!$B$7,IF(G104&lt;=Preço!$C$8,Preço!$B$8,IF(G104&lt;=Preço!$C$9,Preço!$B$9,Preço!$B$10))))</f>
        <v/>
      </c>
      <c r="N104" s="21" t="str">
        <f aca="false">IF(G104="","",Preço!$D$7+MAX(0,MIN(G104,Preço!$C$8)-Preço!$C$7)*Preço!$D$8+MAX(0,MIN(G104,Preço!$C$9)-Preço!$C$8)*Preço!$D$9+MAX(0,G104-Preço!$C$9)*Preço!$D$10)</f>
        <v/>
      </c>
      <c r="O104" s="21" t="str">
        <f aca="false">IF(G104="","",N104*12)</f>
        <v/>
      </c>
      <c r="P104" s="19"/>
    </row>
    <row r="105" customFormat="false" ht="15" hidden="false" customHeight="false" outlineLevel="0" collapsed="false">
      <c r="B105" s="10" t="n">
        <v>99</v>
      </c>
      <c r="C105" s="19"/>
      <c r="D105" s="19"/>
      <c r="E105" s="19"/>
      <c r="F105" s="19"/>
      <c r="G105" s="7"/>
      <c r="H105" s="7"/>
      <c r="I105" s="19"/>
      <c r="J105" s="19"/>
      <c r="K105" s="19"/>
      <c r="L105" s="19"/>
      <c r="M105" s="20" t="str">
        <f aca="false">IF(G105="","",IF(G105&lt;=Preço!$C$7,Preço!$B$7,IF(G105&lt;=Preço!$C$8,Preço!$B$8,IF(G105&lt;=Preço!$C$9,Preço!$B$9,Preço!$B$10))))</f>
        <v/>
      </c>
      <c r="N105" s="21" t="str">
        <f aca="false">IF(G105="","",Preço!$D$7+MAX(0,MIN(G105,Preço!$C$8)-Preço!$C$7)*Preço!$D$8+MAX(0,MIN(G105,Preço!$C$9)-Preço!$C$8)*Preço!$D$9+MAX(0,G105-Preço!$C$9)*Preço!$D$10)</f>
        <v/>
      </c>
      <c r="O105" s="21" t="str">
        <f aca="false">IF(G105="","",N105*12)</f>
        <v/>
      </c>
      <c r="P105" s="19"/>
    </row>
    <row r="106" customFormat="false" ht="15" hidden="false" customHeight="false" outlineLevel="0" collapsed="false">
      <c r="B106" s="10" t="n">
        <v>100</v>
      </c>
      <c r="C106" s="19"/>
      <c r="D106" s="19"/>
      <c r="E106" s="19"/>
      <c r="F106" s="19"/>
      <c r="G106" s="7"/>
      <c r="H106" s="7"/>
      <c r="I106" s="19"/>
      <c r="J106" s="19"/>
      <c r="K106" s="19"/>
      <c r="L106" s="19"/>
      <c r="M106" s="20" t="str">
        <f aca="false">IF(G106="","",IF(G106&lt;=Preço!$C$7,Preço!$B$7,IF(G106&lt;=Preço!$C$8,Preço!$B$8,IF(G106&lt;=Preço!$C$9,Preço!$B$9,Preço!$B$10))))</f>
        <v/>
      </c>
      <c r="N106" s="21" t="str">
        <f aca="false">IF(G106="","",Preço!$D$7+MAX(0,MIN(G106,Preço!$C$8)-Preço!$C$7)*Preço!$D$8+MAX(0,MIN(G106,Preço!$C$9)-Preço!$C$8)*Preço!$D$9+MAX(0,G106-Preço!$C$9)*Preço!$D$10)</f>
        <v/>
      </c>
      <c r="O106" s="21" t="str">
        <f aca="false">IF(G106="","",N106*12)</f>
        <v/>
      </c>
      <c r="P106" s="19"/>
    </row>
    <row r="107" customFormat="false" ht="15" hidden="false" customHeight="false" outlineLevel="0" collapsed="false">
      <c r="B107" s="10" t="n">
        <v>101</v>
      </c>
      <c r="C107" s="19"/>
      <c r="D107" s="19"/>
      <c r="E107" s="19"/>
      <c r="F107" s="19"/>
      <c r="G107" s="7"/>
      <c r="H107" s="7"/>
      <c r="I107" s="19"/>
      <c r="J107" s="19"/>
      <c r="K107" s="19"/>
      <c r="L107" s="19"/>
      <c r="M107" s="20" t="str">
        <f aca="false">IF(G107="","",IF(G107&lt;=Preço!$C$7,Preço!$B$7,IF(G107&lt;=Preço!$C$8,Preço!$B$8,IF(G107&lt;=Preço!$C$9,Preço!$B$9,Preço!$B$10))))</f>
        <v/>
      </c>
      <c r="N107" s="21" t="str">
        <f aca="false">IF(G107="","",Preço!$D$7+MAX(0,MIN(G107,Preço!$C$8)-Preço!$C$7)*Preço!$D$8+MAX(0,MIN(G107,Preço!$C$9)-Preço!$C$8)*Preço!$D$9+MAX(0,G107-Preço!$C$9)*Preço!$D$10)</f>
        <v/>
      </c>
      <c r="O107" s="21" t="str">
        <f aca="false">IF(G107="","",N107*12)</f>
        <v/>
      </c>
      <c r="P107" s="19"/>
    </row>
    <row r="108" customFormat="false" ht="15" hidden="false" customHeight="false" outlineLevel="0" collapsed="false">
      <c r="B108" s="10" t="n">
        <v>102</v>
      </c>
      <c r="C108" s="19"/>
      <c r="D108" s="19"/>
      <c r="E108" s="19"/>
      <c r="F108" s="19"/>
      <c r="G108" s="7"/>
      <c r="H108" s="7"/>
      <c r="I108" s="19"/>
      <c r="J108" s="19"/>
      <c r="K108" s="19"/>
      <c r="L108" s="19"/>
      <c r="M108" s="20" t="str">
        <f aca="false">IF(G108="","",IF(G108&lt;=Preço!$C$7,Preço!$B$7,IF(G108&lt;=Preço!$C$8,Preço!$B$8,IF(G108&lt;=Preço!$C$9,Preço!$B$9,Preço!$B$10))))</f>
        <v/>
      </c>
      <c r="N108" s="21" t="str">
        <f aca="false">IF(G108="","",Preço!$D$7+MAX(0,MIN(G108,Preço!$C$8)-Preço!$C$7)*Preço!$D$8+MAX(0,MIN(G108,Preço!$C$9)-Preço!$C$8)*Preço!$D$9+MAX(0,G108-Preço!$C$9)*Preço!$D$10)</f>
        <v/>
      </c>
      <c r="O108" s="21" t="str">
        <f aca="false">IF(G108="","",N108*12)</f>
        <v/>
      </c>
      <c r="P108" s="19"/>
    </row>
    <row r="109" customFormat="false" ht="15" hidden="false" customHeight="false" outlineLevel="0" collapsed="false">
      <c r="B109" s="10" t="n">
        <v>103</v>
      </c>
      <c r="C109" s="19"/>
      <c r="D109" s="19"/>
      <c r="E109" s="19"/>
      <c r="F109" s="19"/>
      <c r="G109" s="7"/>
      <c r="H109" s="7"/>
      <c r="I109" s="19"/>
      <c r="J109" s="19"/>
      <c r="K109" s="19"/>
      <c r="L109" s="19"/>
      <c r="M109" s="20" t="str">
        <f aca="false">IF(G109="","",IF(G109&lt;=Preço!$C$7,Preço!$B$7,IF(G109&lt;=Preço!$C$8,Preço!$B$8,IF(G109&lt;=Preço!$C$9,Preço!$B$9,Preço!$B$10))))</f>
        <v/>
      </c>
      <c r="N109" s="21" t="str">
        <f aca="false">IF(G109="","",Preço!$D$7+MAX(0,MIN(G109,Preço!$C$8)-Preço!$C$7)*Preço!$D$8+MAX(0,MIN(G109,Preço!$C$9)-Preço!$C$8)*Preço!$D$9+MAX(0,G109-Preço!$C$9)*Preço!$D$10)</f>
        <v/>
      </c>
      <c r="O109" s="21" t="str">
        <f aca="false">IF(G109="","",N109*12)</f>
        <v/>
      </c>
      <c r="P109" s="19"/>
    </row>
    <row r="110" customFormat="false" ht="15" hidden="false" customHeight="false" outlineLevel="0" collapsed="false">
      <c r="B110" s="10" t="n">
        <v>104</v>
      </c>
      <c r="C110" s="19"/>
      <c r="D110" s="19"/>
      <c r="E110" s="19"/>
      <c r="F110" s="19"/>
      <c r="G110" s="7"/>
      <c r="H110" s="7"/>
      <c r="I110" s="19"/>
      <c r="J110" s="19"/>
      <c r="K110" s="19"/>
      <c r="L110" s="19"/>
      <c r="M110" s="20" t="str">
        <f aca="false">IF(G110="","",IF(G110&lt;=Preço!$C$7,Preço!$B$7,IF(G110&lt;=Preço!$C$8,Preço!$B$8,IF(G110&lt;=Preço!$C$9,Preço!$B$9,Preço!$B$10))))</f>
        <v/>
      </c>
      <c r="N110" s="21" t="str">
        <f aca="false">IF(G110="","",Preço!$D$7+MAX(0,MIN(G110,Preço!$C$8)-Preço!$C$7)*Preço!$D$8+MAX(0,MIN(G110,Preço!$C$9)-Preço!$C$8)*Preço!$D$9+MAX(0,G110-Preço!$C$9)*Preço!$D$10)</f>
        <v/>
      </c>
      <c r="O110" s="21" t="str">
        <f aca="false">IF(G110="","",N110*12)</f>
        <v/>
      </c>
      <c r="P110" s="19"/>
    </row>
    <row r="111" customFormat="false" ht="15" hidden="false" customHeight="false" outlineLevel="0" collapsed="false">
      <c r="B111" s="10" t="n">
        <v>105</v>
      </c>
      <c r="C111" s="19"/>
      <c r="D111" s="19"/>
      <c r="E111" s="19"/>
      <c r="F111" s="19"/>
      <c r="G111" s="7"/>
      <c r="H111" s="7"/>
      <c r="I111" s="19"/>
      <c r="J111" s="19"/>
      <c r="K111" s="19"/>
      <c r="L111" s="19"/>
      <c r="M111" s="20" t="str">
        <f aca="false">IF(G111="","",IF(G111&lt;=Preço!$C$7,Preço!$B$7,IF(G111&lt;=Preço!$C$8,Preço!$B$8,IF(G111&lt;=Preço!$C$9,Preço!$B$9,Preço!$B$10))))</f>
        <v/>
      </c>
      <c r="N111" s="21" t="str">
        <f aca="false">IF(G111="","",Preço!$D$7+MAX(0,MIN(G111,Preço!$C$8)-Preço!$C$7)*Preço!$D$8+MAX(0,MIN(G111,Preço!$C$9)-Preço!$C$8)*Preço!$D$9+MAX(0,G111-Preço!$C$9)*Preço!$D$10)</f>
        <v/>
      </c>
      <c r="O111" s="21" t="str">
        <f aca="false">IF(G111="","",N111*12)</f>
        <v/>
      </c>
      <c r="P111" s="19"/>
    </row>
    <row r="112" customFormat="false" ht="15" hidden="false" customHeight="false" outlineLevel="0" collapsed="false">
      <c r="B112" s="10" t="n">
        <v>106</v>
      </c>
      <c r="C112" s="19"/>
      <c r="D112" s="19"/>
      <c r="E112" s="19"/>
      <c r="F112" s="19"/>
      <c r="G112" s="7"/>
      <c r="H112" s="7"/>
      <c r="I112" s="19"/>
      <c r="J112" s="19"/>
      <c r="K112" s="19"/>
      <c r="L112" s="19"/>
      <c r="M112" s="20" t="str">
        <f aca="false">IF(G112="","",IF(G112&lt;=Preço!$C$7,Preço!$B$7,IF(G112&lt;=Preço!$C$8,Preço!$B$8,IF(G112&lt;=Preço!$C$9,Preço!$B$9,Preço!$B$10))))</f>
        <v/>
      </c>
      <c r="N112" s="21" t="str">
        <f aca="false">IF(G112="","",Preço!$D$7+MAX(0,MIN(G112,Preço!$C$8)-Preço!$C$7)*Preço!$D$8+MAX(0,MIN(G112,Preço!$C$9)-Preço!$C$8)*Preço!$D$9+MAX(0,G112-Preço!$C$9)*Preço!$D$10)</f>
        <v/>
      </c>
      <c r="O112" s="21" t="str">
        <f aca="false">IF(G112="","",N112*12)</f>
        <v/>
      </c>
      <c r="P112" s="19"/>
    </row>
    <row r="113" customFormat="false" ht="15" hidden="false" customHeight="false" outlineLevel="0" collapsed="false">
      <c r="B113" s="10" t="n">
        <v>107</v>
      </c>
      <c r="C113" s="19"/>
      <c r="D113" s="19"/>
      <c r="E113" s="19"/>
      <c r="F113" s="19"/>
      <c r="G113" s="7"/>
      <c r="H113" s="7"/>
      <c r="I113" s="19"/>
      <c r="J113" s="19"/>
      <c r="K113" s="19"/>
      <c r="L113" s="19"/>
      <c r="M113" s="20" t="str">
        <f aca="false">IF(G113="","",IF(G113&lt;=Preço!$C$7,Preço!$B$7,IF(G113&lt;=Preço!$C$8,Preço!$B$8,IF(G113&lt;=Preço!$C$9,Preço!$B$9,Preço!$B$10))))</f>
        <v/>
      </c>
      <c r="N113" s="21" t="str">
        <f aca="false">IF(G113="","",Preço!$D$7+MAX(0,MIN(G113,Preço!$C$8)-Preço!$C$7)*Preço!$D$8+MAX(0,MIN(G113,Preço!$C$9)-Preço!$C$8)*Preço!$D$9+MAX(0,G113-Preço!$C$9)*Preço!$D$10)</f>
        <v/>
      </c>
      <c r="O113" s="21" t="str">
        <f aca="false">IF(G113="","",N113*12)</f>
        <v/>
      </c>
      <c r="P113" s="19"/>
    </row>
    <row r="114" customFormat="false" ht="15" hidden="false" customHeight="false" outlineLevel="0" collapsed="false">
      <c r="B114" s="10" t="n">
        <v>108</v>
      </c>
      <c r="C114" s="19"/>
      <c r="D114" s="19"/>
      <c r="E114" s="19"/>
      <c r="F114" s="19"/>
      <c r="G114" s="7"/>
      <c r="H114" s="7"/>
      <c r="I114" s="19"/>
      <c r="J114" s="19"/>
      <c r="K114" s="19"/>
      <c r="L114" s="19"/>
      <c r="M114" s="20" t="str">
        <f aca="false">IF(G114="","",IF(G114&lt;=Preço!$C$7,Preço!$B$7,IF(G114&lt;=Preço!$C$8,Preço!$B$8,IF(G114&lt;=Preço!$C$9,Preço!$B$9,Preço!$B$10))))</f>
        <v/>
      </c>
      <c r="N114" s="21" t="str">
        <f aca="false">IF(G114="","",Preço!$D$7+MAX(0,MIN(G114,Preço!$C$8)-Preço!$C$7)*Preço!$D$8+MAX(0,MIN(G114,Preço!$C$9)-Preço!$C$8)*Preço!$D$9+MAX(0,G114-Preço!$C$9)*Preço!$D$10)</f>
        <v/>
      </c>
      <c r="O114" s="21" t="str">
        <f aca="false">IF(G114="","",N114*12)</f>
        <v/>
      </c>
      <c r="P114" s="19"/>
    </row>
    <row r="115" customFormat="false" ht="15" hidden="false" customHeight="false" outlineLevel="0" collapsed="false">
      <c r="B115" s="10" t="n">
        <v>109</v>
      </c>
      <c r="C115" s="19"/>
      <c r="D115" s="19"/>
      <c r="E115" s="19"/>
      <c r="F115" s="19"/>
      <c r="G115" s="7"/>
      <c r="H115" s="7"/>
      <c r="I115" s="19"/>
      <c r="J115" s="19"/>
      <c r="K115" s="19"/>
      <c r="L115" s="19"/>
      <c r="M115" s="20" t="str">
        <f aca="false">IF(G115="","",IF(G115&lt;=Preço!$C$7,Preço!$B$7,IF(G115&lt;=Preço!$C$8,Preço!$B$8,IF(G115&lt;=Preço!$C$9,Preço!$B$9,Preço!$B$10))))</f>
        <v/>
      </c>
      <c r="N115" s="21" t="str">
        <f aca="false">IF(G115="","",Preço!$D$7+MAX(0,MIN(G115,Preço!$C$8)-Preço!$C$7)*Preço!$D$8+MAX(0,MIN(G115,Preço!$C$9)-Preço!$C$8)*Preço!$D$9+MAX(0,G115-Preço!$C$9)*Preço!$D$10)</f>
        <v/>
      </c>
      <c r="O115" s="21" t="str">
        <f aca="false">IF(G115="","",N115*12)</f>
        <v/>
      </c>
      <c r="P115" s="19"/>
    </row>
    <row r="116" customFormat="false" ht="15" hidden="false" customHeight="false" outlineLevel="0" collapsed="false">
      <c r="B116" s="10" t="n">
        <v>110</v>
      </c>
      <c r="C116" s="19"/>
      <c r="D116" s="19"/>
      <c r="E116" s="19"/>
      <c r="F116" s="19"/>
      <c r="G116" s="7"/>
      <c r="H116" s="7"/>
      <c r="I116" s="19"/>
      <c r="J116" s="19"/>
      <c r="K116" s="19"/>
      <c r="L116" s="19"/>
      <c r="M116" s="20" t="str">
        <f aca="false">IF(G116="","",IF(G116&lt;=Preço!$C$7,Preço!$B$7,IF(G116&lt;=Preço!$C$8,Preço!$B$8,IF(G116&lt;=Preço!$C$9,Preço!$B$9,Preço!$B$10))))</f>
        <v/>
      </c>
      <c r="N116" s="21" t="str">
        <f aca="false">IF(G116="","",Preço!$D$7+MAX(0,MIN(G116,Preço!$C$8)-Preço!$C$7)*Preço!$D$8+MAX(0,MIN(G116,Preço!$C$9)-Preço!$C$8)*Preço!$D$9+MAX(0,G116-Preço!$C$9)*Preço!$D$10)</f>
        <v/>
      </c>
      <c r="O116" s="21" t="str">
        <f aca="false">IF(G116="","",N116*12)</f>
        <v/>
      </c>
      <c r="P116" s="19"/>
    </row>
    <row r="117" customFormat="false" ht="15" hidden="false" customHeight="false" outlineLevel="0" collapsed="false">
      <c r="B117" s="10" t="n">
        <v>111</v>
      </c>
      <c r="C117" s="19"/>
      <c r="D117" s="19"/>
      <c r="E117" s="19"/>
      <c r="F117" s="19"/>
      <c r="G117" s="7"/>
      <c r="H117" s="7"/>
      <c r="I117" s="19"/>
      <c r="J117" s="19"/>
      <c r="K117" s="19"/>
      <c r="L117" s="19"/>
      <c r="M117" s="20" t="str">
        <f aca="false">IF(G117="","",IF(G117&lt;=Preço!$C$7,Preço!$B$7,IF(G117&lt;=Preço!$C$8,Preço!$B$8,IF(G117&lt;=Preço!$C$9,Preço!$B$9,Preço!$B$10))))</f>
        <v/>
      </c>
      <c r="N117" s="21" t="str">
        <f aca="false">IF(G117="","",Preço!$D$7+MAX(0,MIN(G117,Preço!$C$8)-Preço!$C$7)*Preço!$D$8+MAX(0,MIN(G117,Preço!$C$9)-Preço!$C$8)*Preço!$D$9+MAX(0,G117-Preço!$C$9)*Preço!$D$10)</f>
        <v/>
      </c>
      <c r="O117" s="21" t="str">
        <f aca="false">IF(G117="","",N117*12)</f>
        <v/>
      </c>
      <c r="P117" s="19"/>
    </row>
    <row r="118" customFormat="false" ht="15" hidden="false" customHeight="false" outlineLevel="0" collapsed="false">
      <c r="B118" s="10" t="n">
        <v>112</v>
      </c>
      <c r="C118" s="19"/>
      <c r="D118" s="19"/>
      <c r="E118" s="19"/>
      <c r="F118" s="19"/>
      <c r="G118" s="7"/>
      <c r="H118" s="7"/>
      <c r="I118" s="19"/>
      <c r="J118" s="19"/>
      <c r="K118" s="19"/>
      <c r="L118" s="19"/>
      <c r="M118" s="20" t="str">
        <f aca="false">IF(G118="","",IF(G118&lt;=Preço!$C$7,Preço!$B$7,IF(G118&lt;=Preço!$C$8,Preço!$B$8,IF(G118&lt;=Preço!$C$9,Preço!$B$9,Preço!$B$10))))</f>
        <v/>
      </c>
      <c r="N118" s="21" t="str">
        <f aca="false">IF(G118="","",Preço!$D$7+MAX(0,MIN(G118,Preço!$C$8)-Preço!$C$7)*Preço!$D$8+MAX(0,MIN(G118,Preço!$C$9)-Preço!$C$8)*Preço!$D$9+MAX(0,G118-Preço!$C$9)*Preço!$D$10)</f>
        <v/>
      </c>
      <c r="O118" s="21" t="str">
        <f aca="false">IF(G118="","",N118*12)</f>
        <v/>
      </c>
      <c r="P118" s="19"/>
    </row>
    <row r="119" customFormat="false" ht="15" hidden="false" customHeight="false" outlineLevel="0" collapsed="false">
      <c r="B119" s="10" t="n">
        <v>113</v>
      </c>
      <c r="C119" s="19"/>
      <c r="D119" s="19"/>
      <c r="E119" s="19"/>
      <c r="F119" s="19"/>
      <c r="G119" s="7"/>
      <c r="H119" s="7"/>
      <c r="I119" s="19"/>
      <c r="J119" s="19"/>
      <c r="K119" s="19"/>
      <c r="L119" s="19"/>
      <c r="M119" s="20" t="str">
        <f aca="false">IF(G119="","",IF(G119&lt;=Preço!$C$7,Preço!$B$7,IF(G119&lt;=Preço!$C$8,Preço!$B$8,IF(G119&lt;=Preço!$C$9,Preço!$B$9,Preço!$B$10))))</f>
        <v/>
      </c>
      <c r="N119" s="21" t="str">
        <f aca="false">IF(G119="","",Preço!$D$7+MAX(0,MIN(G119,Preço!$C$8)-Preço!$C$7)*Preço!$D$8+MAX(0,MIN(G119,Preço!$C$9)-Preço!$C$8)*Preço!$D$9+MAX(0,G119-Preço!$C$9)*Preço!$D$10)</f>
        <v/>
      </c>
      <c r="O119" s="21" t="str">
        <f aca="false">IF(G119="","",N119*12)</f>
        <v/>
      </c>
      <c r="P119" s="19"/>
    </row>
    <row r="120" customFormat="false" ht="15" hidden="false" customHeight="false" outlineLevel="0" collapsed="false">
      <c r="B120" s="10" t="n">
        <v>114</v>
      </c>
      <c r="C120" s="19"/>
      <c r="D120" s="19"/>
      <c r="E120" s="19"/>
      <c r="F120" s="19"/>
      <c r="G120" s="7"/>
      <c r="H120" s="7"/>
      <c r="I120" s="19"/>
      <c r="J120" s="19"/>
      <c r="K120" s="19"/>
      <c r="L120" s="19"/>
      <c r="M120" s="20" t="str">
        <f aca="false">IF(G120="","",IF(G120&lt;=Preço!$C$7,Preço!$B$7,IF(G120&lt;=Preço!$C$8,Preço!$B$8,IF(G120&lt;=Preço!$C$9,Preço!$B$9,Preço!$B$10))))</f>
        <v/>
      </c>
      <c r="N120" s="21" t="str">
        <f aca="false">IF(G120="","",Preço!$D$7+MAX(0,MIN(G120,Preço!$C$8)-Preço!$C$7)*Preço!$D$8+MAX(0,MIN(G120,Preço!$C$9)-Preço!$C$8)*Preço!$D$9+MAX(0,G120-Preço!$C$9)*Preço!$D$10)</f>
        <v/>
      </c>
      <c r="O120" s="21" t="str">
        <f aca="false">IF(G120="","",N120*12)</f>
        <v/>
      </c>
      <c r="P120" s="19"/>
    </row>
    <row r="121" customFormat="false" ht="15" hidden="false" customHeight="false" outlineLevel="0" collapsed="false">
      <c r="B121" s="10" t="n">
        <v>115</v>
      </c>
      <c r="C121" s="19"/>
      <c r="D121" s="19"/>
      <c r="E121" s="19"/>
      <c r="F121" s="19"/>
      <c r="G121" s="7"/>
      <c r="H121" s="7"/>
      <c r="I121" s="19"/>
      <c r="J121" s="19"/>
      <c r="K121" s="19"/>
      <c r="L121" s="19"/>
      <c r="M121" s="20" t="str">
        <f aca="false">IF(G121="","",IF(G121&lt;=Preço!$C$7,Preço!$B$7,IF(G121&lt;=Preço!$C$8,Preço!$B$8,IF(G121&lt;=Preço!$C$9,Preço!$B$9,Preço!$B$10))))</f>
        <v/>
      </c>
      <c r="N121" s="21" t="str">
        <f aca="false">IF(G121="","",Preço!$D$7+MAX(0,MIN(G121,Preço!$C$8)-Preço!$C$7)*Preço!$D$8+MAX(0,MIN(G121,Preço!$C$9)-Preço!$C$8)*Preço!$D$9+MAX(0,G121-Preço!$C$9)*Preço!$D$10)</f>
        <v/>
      </c>
      <c r="O121" s="21" t="str">
        <f aca="false">IF(G121="","",N121*12)</f>
        <v/>
      </c>
      <c r="P121" s="19"/>
    </row>
    <row r="122" customFormat="false" ht="15" hidden="false" customHeight="false" outlineLevel="0" collapsed="false">
      <c r="B122" s="10" t="n">
        <v>116</v>
      </c>
      <c r="C122" s="19"/>
      <c r="D122" s="19"/>
      <c r="E122" s="19"/>
      <c r="F122" s="19"/>
      <c r="G122" s="7"/>
      <c r="H122" s="7"/>
      <c r="I122" s="19"/>
      <c r="J122" s="19"/>
      <c r="K122" s="19"/>
      <c r="L122" s="19"/>
      <c r="M122" s="20" t="str">
        <f aca="false">IF(G122="","",IF(G122&lt;=Preço!$C$7,Preço!$B$7,IF(G122&lt;=Preço!$C$8,Preço!$B$8,IF(G122&lt;=Preço!$C$9,Preço!$B$9,Preço!$B$10))))</f>
        <v/>
      </c>
      <c r="N122" s="21" t="str">
        <f aca="false">IF(G122="","",Preço!$D$7+MAX(0,MIN(G122,Preço!$C$8)-Preço!$C$7)*Preço!$D$8+MAX(0,MIN(G122,Preço!$C$9)-Preço!$C$8)*Preço!$D$9+MAX(0,G122-Preço!$C$9)*Preço!$D$10)</f>
        <v/>
      </c>
      <c r="O122" s="21" t="str">
        <f aca="false">IF(G122="","",N122*12)</f>
        <v/>
      </c>
      <c r="P122" s="19"/>
    </row>
    <row r="123" customFormat="false" ht="15" hidden="false" customHeight="false" outlineLevel="0" collapsed="false">
      <c r="B123" s="10" t="n">
        <v>117</v>
      </c>
      <c r="C123" s="19"/>
      <c r="D123" s="19"/>
      <c r="E123" s="19"/>
      <c r="F123" s="19"/>
      <c r="G123" s="7"/>
      <c r="H123" s="7"/>
      <c r="I123" s="19"/>
      <c r="J123" s="19"/>
      <c r="K123" s="19"/>
      <c r="L123" s="19"/>
      <c r="M123" s="20" t="str">
        <f aca="false">IF(G123="","",IF(G123&lt;=Preço!$C$7,Preço!$B$7,IF(G123&lt;=Preço!$C$8,Preço!$B$8,IF(G123&lt;=Preço!$C$9,Preço!$B$9,Preço!$B$10))))</f>
        <v/>
      </c>
      <c r="N123" s="21" t="str">
        <f aca="false">IF(G123="","",Preço!$D$7+MAX(0,MIN(G123,Preço!$C$8)-Preço!$C$7)*Preço!$D$8+MAX(0,MIN(G123,Preço!$C$9)-Preço!$C$8)*Preço!$D$9+MAX(0,G123-Preço!$C$9)*Preço!$D$10)</f>
        <v/>
      </c>
      <c r="O123" s="21" t="str">
        <f aca="false">IF(G123="","",N123*12)</f>
        <v/>
      </c>
      <c r="P123" s="19"/>
    </row>
    <row r="124" customFormat="false" ht="15" hidden="false" customHeight="false" outlineLevel="0" collapsed="false">
      <c r="B124" s="10" t="n">
        <v>118</v>
      </c>
      <c r="C124" s="19"/>
      <c r="D124" s="19"/>
      <c r="E124" s="19"/>
      <c r="F124" s="19"/>
      <c r="G124" s="7"/>
      <c r="H124" s="7"/>
      <c r="I124" s="19"/>
      <c r="J124" s="19"/>
      <c r="K124" s="19"/>
      <c r="L124" s="19"/>
      <c r="M124" s="20" t="str">
        <f aca="false">IF(G124="","",IF(G124&lt;=Preço!$C$7,Preço!$B$7,IF(G124&lt;=Preço!$C$8,Preço!$B$8,IF(G124&lt;=Preço!$C$9,Preço!$B$9,Preço!$B$10))))</f>
        <v/>
      </c>
      <c r="N124" s="21" t="str">
        <f aca="false">IF(G124="","",Preço!$D$7+MAX(0,MIN(G124,Preço!$C$8)-Preço!$C$7)*Preço!$D$8+MAX(0,MIN(G124,Preço!$C$9)-Preço!$C$8)*Preço!$D$9+MAX(0,G124-Preço!$C$9)*Preço!$D$10)</f>
        <v/>
      </c>
      <c r="O124" s="21" t="str">
        <f aca="false">IF(G124="","",N124*12)</f>
        <v/>
      </c>
      <c r="P124" s="19"/>
    </row>
    <row r="125" customFormat="false" ht="15" hidden="false" customHeight="false" outlineLevel="0" collapsed="false">
      <c r="B125" s="10" t="n">
        <v>119</v>
      </c>
      <c r="C125" s="19"/>
      <c r="D125" s="19"/>
      <c r="E125" s="19"/>
      <c r="F125" s="19"/>
      <c r="G125" s="7"/>
      <c r="H125" s="7"/>
      <c r="I125" s="19"/>
      <c r="J125" s="19"/>
      <c r="K125" s="19"/>
      <c r="L125" s="19"/>
      <c r="M125" s="20" t="str">
        <f aca="false">IF(G125="","",IF(G125&lt;=Preço!$C$7,Preço!$B$7,IF(G125&lt;=Preço!$C$8,Preço!$B$8,IF(G125&lt;=Preço!$C$9,Preço!$B$9,Preço!$B$10))))</f>
        <v/>
      </c>
      <c r="N125" s="21" t="str">
        <f aca="false">IF(G125="","",Preço!$D$7+MAX(0,MIN(G125,Preço!$C$8)-Preço!$C$7)*Preço!$D$8+MAX(0,MIN(G125,Preço!$C$9)-Preço!$C$8)*Preço!$D$9+MAX(0,G125-Preço!$C$9)*Preço!$D$10)</f>
        <v/>
      </c>
      <c r="O125" s="21" t="str">
        <f aca="false">IF(G125="","",N125*12)</f>
        <v/>
      </c>
      <c r="P125" s="19"/>
    </row>
    <row r="126" customFormat="false" ht="15" hidden="false" customHeight="false" outlineLevel="0" collapsed="false">
      <c r="B126" s="10" t="n">
        <v>120</v>
      </c>
      <c r="C126" s="19"/>
      <c r="D126" s="19"/>
      <c r="E126" s="19"/>
      <c r="F126" s="19"/>
      <c r="G126" s="7"/>
      <c r="H126" s="7"/>
      <c r="I126" s="19"/>
      <c r="J126" s="19"/>
      <c r="K126" s="19"/>
      <c r="L126" s="19"/>
      <c r="M126" s="20" t="str">
        <f aca="false">IF(G126="","",IF(G126&lt;=Preço!$C$7,Preço!$B$7,IF(G126&lt;=Preço!$C$8,Preço!$B$8,IF(G126&lt;=Preço!$C$9,Preço!$B$9,Preço!$B$10))))</f>
        <v/>
      </c>
      <c r="N126" s="21" t="str">
        <f aca="false">IF(G126="","",Preço!$D$7+MAX(0,MIN(G126,Preço!$C$8)-Preço!$C$7)*Preço!$D$8+MAX(0,MIN(G126,Preço!$C$9)-Preço!$C$8)*Preço!$D$9+MAX(0,G126-Preço!$C$9)*Preço!$D$10)</f>
        <v/>
      </c>
      <c r="O126" s="21" t="str">
        <f aca="false">IF(G126="","",N126*12)</f>
        <v/>
      </c>
      <c r="P126" s="19"/>
    </row>
    <row r="127" customFormat="false" ht="15" hidden="false" customHeight="false" outlineLevel="0" collapsed="false">
      <c r="B127" s="10" t="n">
        <v>121</v>
      </c>
      <c r="C127" s="19"/>
      <c r="D127" s="19"/>
      <c r="E127" s="19"/>
      <c r="F127" s="19"/>
      <c r="G127" s="7"/>
      <c r="H127" s="7"/>
      <c r="I127" s="19"/>
      <c r="J127" s="19"/>
      <c r="K127" s="19"/>
      <c r="L127" s="19"/>
      <c r="M127" s="20" t="str">
        <f aca="false">IF(G127="","",IF(G127&lt;=Preço!$C$7,Preço!$B$7,IF(G127&lt;=Preço!$C$8,Preço!$B$8,IF(G127&lt;=Preço!$C$9,Preço!$B$9,Preço!$B$10))))</f>
        <v/>
      </c>
      <c r="N127" s="21" t="str">
        <f aca="false">IF(G127="","",Preço!$D$7+MAX(0,MIN(G127,Preço!$C$8)-Preço!$C$7)*Preço!$D$8+MAX(0,MIN(G127,Preço!$C$9)-Preço!$C$8)*Preço!$D$9+MAX(0,G127-Preço!$C$9)*Preço!$D$10)</f>
        <v/>
      </c>
      <c r="O127" s="21" t="str">
        <f aca="false">IF(G127="","",N127*12)</f>
        <v/>
      </c>
      <c r="P127" s="19"/>
    </row>
    <row r="128" customFormat="false" ht="15" hidden="false" customHeight="false" outlineLevel="0" collapsed="false">
      <c r="B128" s="10" t="n">
        <v>122</v>
      </c>
      <c r="C128" s="19"/>
      <c r="D128" s="19"/>
      <c r="E128" s="19"/>
      <c r="F128" s="19"/>
      <c r="G128" s="7"/>
      <c r="H128" s="7"/>
      <c r="I128" s="19"/>
      <c r="J128" s="19"/>
      <c r="K128" s="19"/>
      <c r="L128" s="19"/>
      <c r="M128" s="20" t="str">
        <f aca="false">IF(G128="","",IF(G128&lt;=Preço!$C$7,Preço!$B$7,IF(G128&lt;=Preço!$C$8,Preço!$B$8,IF(G128&lt;=Preço!$C$9,Preço!$B$9,Preço!$B$10))))</f>
        <v/>
      </c>
      <c r="N128" s="21" t="str">
        <f aca="false">IF(G128="","",Preço!$D$7+MAX(0,MIN(G128,Preço!$C$8)-Preço!$C$7)*Preço!$D$8+MAX(0,MIN(G128,Preço!$C$9)-Preço!$C$8)*Preço!$D$9+MAX(0,G128-Preço!$C$9)*Preço!$D$10)</f>
        <v/>
      </c>
      <c r="O128" s="21" t="str">
        <f aca="false">IF(G128="","",N128*12)</f>
        <v/>
      </c>
      <c r="P128" s="19"/>
    </row>
    <row r="129" customFormat="false" ht="15" hidden="false" customHeight="false" outlineLevel="0" collapsed="false">
      <c r="B129" s="10" t="n">
        <v>123</v>
      </c>
      <c r="C129" s="19"/>
      <c r="D129" s="19"/>
      <c r="E129" s="19"/>
      <c r="F129" s="19"/>
      <c r="G129" s="7"/>
      <c r="H129" s="7"/>
      <c r="I129" s="19"/>
      <c r="J129" s="19"/>
      <c r="K129" s="19"/>
      <c r="L129" s="19"/>
      <c r="M129" s="20" t="str">
        <f aca="false">IF(G129="","",IF(G129&lt;=Preço!$C$7,Preço!$B$7,IF(G129&lt;=Preço!$C$8,Preço!$B$8,IF(G129&lt;=Preço!$C$9,Preço!$B$9,Preço!$B$10))))</f>
        <v/>
      </c>
      <c r="N129" s="21" t="str">
        <f aca="false">IF(G129="","",Preço!$D$7+MAX(0,MIN(G129,Preço!$C$8)-Preço!$C$7)*Preço!$D$8+MAX(0,MIN(G129,Preço!$C$9)-Preço!$C$8)*Preço!$D$9+MAX(0,G129-Preço!$C$9)*Preço!$D$10)</f>
        <v/>
      </c>
      <c r="O129" s="21" t="str">
        <f aca="false">IF(G129="","",N129*12)</f>
        <v/>
      </c>
      <c r="P129" s="19"/>
    </row>
    <row r="130" customFormat="false" ht="15" hidden="false" customHeight="false" outlineLevel="0" collapsed="false">
      <c r="B130" s="10" t="n">
        <v>124</v>
      </c>
      <c r="C130" s="19"/>
      <c r="D130" s="19"/>
      <c r="E130" s="19"/>
      <c r="F130" s="19"/>
      <c r="G130" s="7"/>
      <c r="H130" s="7"/>
      <c r="I130" s="19"/>
      <c r="J130" s="19"/>
      <c r="K130" s="19"/>
      <c r="L130" s="19"/>
      <c r="M130" s="20" t="str">
        <f aca="false">IF(G130="","",IF(G130&lt;=Preço!$C$7,Preço!$B$7,IF(G130&lt;=Preço!$C$8,Preço!$B$8,IF(G130&lt;=Preço!$C$9,Preço!$B$9,Preço!$B$10))))</f>
        <v/>
      </c>
      <c r="N130" s="21" t="str">
        <f aca="false">IF(G130="","",Preço!$D$7+MAX(0,MIN(G130,Preço!$C$8)-Preço!$C$7)*Preço!$D$8+MAX(0,MIN(G130,Preço!$C$9)-Preço!$C$8)*Preço!$D$9+MAX(0,G130-Preço!$C$9)*Preço!$D$10)</f>
        <v/>
      </c>
      <c r="O130" s="21" t="str">
        <f aca="false">IF(G130="","",N130*12)</f>
        <v/>
      </c>
      <c r="P130" s="19"/>
    </row>
    <row r="131" customFormat="false" ht="15" hidden="false" customHeight="false" outlineLevel="0" collapsed="false">
      <c r="B131" s="10" t="n">
        <v>125</v>
      </c>
      <c r="C131" s="19"/>
      <c r="D131" s="19"/>
      <c r="E131" s="19"/>
      <c r="F131" s="19"/>
      <c r="G131" s="7"/>
      <c r="H131" s="7"/>
      <c r="I131" s="19"/>
      <c r="J131" s="19"/>
      <c r="K131" s="19"/>
      <c r="L131" s="19"/>
      <c r="M131" s="20" t="str">
        <f aca="false">IF(G131="","",IF(G131&lt;=Preço!$C$7,Preço!$B$7,IF(G131&lt;=Preço!$C$8,Preço!$B$8,IF(G131&lt;=Preço!$C$9,Preço!$B$9,Preço!$B$10))))</f>
        <v/>
      </c>
      <c r="N131" s="21" t="str">
        <f aca="false">IF(G131="","",Preço!$D$7+MAX(0,MIN(G131,Preço!$C$8)-Preço!$C$7)*Preço!$D$8+MAX(0,MIN(G131,Preço!$C$9)-Preço!$C$8)*Preço!$D$9+MAX(0,G131-Preço!$C$9)*Preço!$D$10)</f>
        <v/>
      </c>
      <c r="O131" s="21" t="str">
        <f aca="false">IF(G131="","",N131*12)</f>
        <v/>
      </c>
      <c r="P131" s="19"/>
    </row>
    <row r="132" customFormat="false" ht="15" hidden="false" customHeight="false" outlineLevel="0" collapsed="false">
      <c r="B132" s="10" t="n">
        <v>126</v>
      </c>
      <c r="C132" s="19"/>
      <c r="D132" s="19"/>
      <c r="E132" s="19"/>
      <c r="F132" s="19"/>
      <c r="G132" s="7"/>
      <c r="H132" s="7"/>
      <c r="I132" s="19"/>
      <c r="J132" s="19"/>
      <c r="K132" s="19"/>
      <c r="L132" s="19"/>
      <c r="M132" s="20" t="str">
        <f aca="false">IF(G132="","",IF(G132&lt;=Preço!$C$7,Preço!$B$7,IF(G132&lt;=Preço!$C$8,Preço!$B$8,IF(G132&lt;=Preço!$C$9,Preço!$B$9,Preço!$B$10))))</f>
        <v/>
      </c>
      <c r="N132" s="21" t="str">
        <f aca="false">IF(G132="","",Preço!$D$7+MAX(0,MIN(G132,Preço!$C$8)-Preço!$C$7)*Preço!$D$8+MAX(0,MIN(G132,Preço!$C$9)-Preço!$C$8)*Preço!$D$9+MAX(0,G132-Preço!$C$9)*Preço!$D$10)</f>
        <v/>
      </c>
      <c r="O132" s="21" t="str">
        <f aca="false">IF(G132="","",N132*12)</f>
        <v/>
      </c>
      <c r="P132" s="19"/>
    </row>
    <row r="133" customFormat="false" ht="15" hidden="false" customHeight="false" outlineLevel="0" collapsed="false">
      <c r="B133" s="10" t="n">
        <v>127</v>
      </c>
      <c r="C133" s="19"/>
      <c r="D133" s="19"/>
      <c r="E133" s="19"/>
      <c r="F133" s="19"/>
      <c r="G133" s="7"/>
      <c r="H133" s="7"/>
      <c r="I133" s="19"/>
      <c r="J133" s="19"/>
      <c r="K133" s="19"/>
      <c r="L133" s="19"/>
      <c r="M133" s="20" t="str">
        <f aca="false">IF(G133="","",IF(G133&lt;=Preço!$C$7,Preço!$B$7,IF(G133&lt;=Preço!$C$8,Preço!$B$8,IF(G133&lt;=Preço!$C$9,Preço!$B$9,Preço!$B$10))))</f>
        <v/>
      </c>
      <c r="N133" s="21" t="str">
        <f aca="false">IF(G133="","",Preço!$D$7+MAX(0,MIN(G133,Preço!$C$8)-Preço!$C$7)*Preço!$D$8+MAX(0,MIN(G133,Preço!$C$9)-Preço!$C$8)*Preço!$D$9+MAX(0,G133-Preço!$C$9)*Preço!$D$10)</f>
        <v/>
      </c>
      <c r="O133" s="21" t="str">
        <f aca="false">IF(G133="","",N133*12)</f>
        <v/>
      </c>
      <c r="P133" s="19"/>
    </row>
    <row r="134" customFormat="false" ht="15" hidden="false" customHeight="false" outlineLevel="0" collapsed="false">
      <c r="B134" s="10" t="n">
        <v>128</v>
      </c>
      <c r="C134" s="19"/>
      <c r="D134" s="19"/>
      <c r="E134" s="19"/>
      <c r="F134" s="19"/>
      <c r="G134" s="7"/>
      <c r="H134" s="7"/>
      <c r="I134" s="19"/>
      <c r="J134" s="19"/>
      <c r="K134" s="19"/>
      <c r="L134" s="19"/>
      <c r="M134" s="20" t="str">
        <f aca="false">IF(G134="","",IF(G134&lt;=Preço!$C$7,Preço!$B$7,IF(G134&lt;=Preço!$C$8,Preço!$B$8,IF(G134&lt;=Preço!$C$9,Preço!$B$9,Preço!$B$10))))</f>
        <v/>
      </c>
      <c r="N134" s="21" t="str">
        <f aca="false">IF(G134="","",Preço!$D$7+MAX(0,MIN(G134,Preço!$C$8)-Preço!$C$7)*Preço!$D$8+MAX(0,MIN(G134,Preço!$C$9)-Preço!$C$8)*Preço!$D$9+MAX(0,G134-Preço!$C$9)*Preço!$D$10)</f>
        <v/>
      </c>
      <c r="O134" s="21" t="str">
        <f aca="false">IF(G134="","",N134*12)</f>
        <v/>
      </c>
      <c r="P134" s="19"/>
    </row>
    <row r="135" customFormat="false" ht="15" hidden="false" customHeight="false" outlineLevel="0" collapsed="false">
      <c r="B135" s="10" t="n">
        <v>129</v>
      </c>
      <c r="C135" s="19"/>
      <c r="D135" s="19"/>
      <c r="E135" s="19"/>
      <c r="F135" s="19"/>
      <c r="G135" s="7"/>
      <c r="H135" s="7"/>
      <c r="I135" s="19"/>
      <c r="J135" s="19"/>
      <c r="K135" s="19"/>
      <c r="L135" s="19"/>
      <c r="M135" s="20" t="str">
        <f aca="false">IF(G135="","",IF(G135&lt;=Preço!$C$7,Preço!$B$7,IF(G135&lt;=Preço!$C$8,Preço!$B$8,IF(G135&lt;=Preço!$C$9,Preço!$B$9,Preço!$B$10))))</f>
        <v/>
      </c>
      <c r="N135" s="21" t="str">
        <f aca="false">IF(G135="","",Preço!$D$7+MAX(0,MIN(G135,Preço!$C$8)-Preço!$C$7)*Preço!$D$8+MAX(0,MIN(G135,Preço!$C$9)-Preço!$C$8)*Preço!$D$9+MAX(0,G135-Preço!$C$9)*Preço!$D$10)</f>
        <v/>
      </c>
      <c r="O135" s="21" t="str">
        <f aca="false">IF(G135="","",N135*12)</f>
        <v/>
      </c>
      <c r="P135" s="19"/>
    </row>
    <row r="136" customFormat="false" ht="15" hidden="false" customHeight="false" outlineLevel="0" collapsed="false">
      <c r="B136" s="10" t="n">
        <v>130</v>
      </c>
      <c r="C136" s="19"/>
      <c r="D136" s="19"/>
      <c r="E136" s="19"/>
      <c r="F136" s="19"/>
      <c r="G136" s="7"/>
      <c r="H136" s="7"/>
      <c r="I136" s="19"/>
      <c r="J136" s="19"/>
      <c r="K136" s="19"/>
      <c r="L136" s="19"/>
      <c r="M136" s="20" t="str">
        <f aca="false">IF(G136="","",IF(G136&lt;=Preço!$C$7,Preço!$B$7,IF(G136&lt;=Preço!$C$8,Preço!$B$8,IF(G136&lt;=Preço!$C$9,Preço!$B$9,Preço!$B$10))))</f>
        <v/>
      </c>
      <c r="N136" s="21" t="str">
        <f aca="false">IF(G136="","",Preço!$D$7+MAX(0,MIN(G136,Preço!$C$8)-Preço!$C$7)*Preço!$D$8+MAX(0,MIN(G136,Preço!$C$9)-Preço!$C$8)*Preço!$D$9+MAX(0,G136-Preço!$C$9)*Preço!$D$10)</f>
        <v/>
      </c>
      <c r="O136" s="21" t="str">
        <f aca="false">IF(G136="","",N136*12)</f>
        <v/>
      </c>
      <c r="P136" s="19"/>
    </row>
    <row r="137" customFormat="false" ht="15" hidden="false" customHeight="false" outlineLevel="0" collapsed="false">
      <c r="B137" s="10" t="n">
        <v>131</v>
      </c>
      <c r="C137" s="19"/>
      <c r="D137" s="19"/>
      <c r="E137" s="19"/>
      <c r="F137" s="19"/>
      <c r="G137" s="7"/>
      <c r="H137" s="7"/>
      <c r="I137" s="19"/>
      <c r="J137" s="19"/>
      <c r="K137" s="19"/>
      <c r="L137" s="19"/>
      <c r="M137" s="20" t="str">
        <f aca="false">IF(G137="","",IF(G137&lt;=Preço!$C$7,Preço!$B$7,IF(G137&lt;=Preço!$C$8,Preço!$B$8,IF(G137&lt;=Preço!$C$9,Preço!$B$9,Preço!$B$10))))</f>
        <v/>
      </c>
      <c r="N137" s="21" t="str">
        <f aca="false">IF(G137="","",Preço!$D$7+MAX(0,MIN(G137,Preço!$C$8)-Preço!$C$7)*Preço!$D$8+MAX(0,MIN(G137,Preço!$C$9)-Preço!$C$8)*Preço!$D$9+MAX(0,G137-Preço!$C$9)*Preço!$D$10)</f>
        <v/>
      </c>
      <c r="O137" s="21" t="str">
        <f aca="false">IF(G137="","",N137*12)</f>
        <v/>
      </c>
      <c r="P137" s="19"/>
    </row>
    <row r="138" customFormat="false" ht="15" hidden="false" customHeight="false" outlineLevel="0" collapsed="false">
      <c r="B138" s="10" t="n">
        <v>132</v>
      </c>
      <c r="C138" s="19"/>
      <c r="D138" s="19"/>
      <c r="E138" s="19"/>
      <c r="F138" s="19"/>
      <c r="G138" s="7"/>
      <c r="H138" s="7"/>
      <c r="I138" s="19"/>
      <c r="J138" s="19"/>
      <c r="K138" s="19"/>
      <c r="L138" s="19"/>
      <c r="M138" s="20" t="str">
        <f aca="false">IF(G138="","",IF(G138&lt;=Preço!$C$7,Preço!$B$7,IF(G138&lt;=Preço!$C$8,Preço!$B$8,IF(G138&lt;=Preço!$C$9,Preço!$B$9,Preço!$B$10))))</f>
        <v/>
      </c>
      <c r="N138" s="21" t="str">
        <f aca="false">IF(G138="","",Preço!$D$7+MAX(0,MIN(G138,Preço!$C$8)-Preço!$C$7)*Preço!$D$8+MAX(0,MIN(G138,Preço!$C$9)-Preço!$C$8)*Preço!$D$9+MAX(0,G138-Preço!$C$9)*Preço!$D$10)</f>
        <v/>
      </c>
      <c r="O138" s="21" t="str">
        <f aca="false">IF(G138="","",N138*12)</f>
        <v/>
      </c>
      <c r="P138" s="19"/>
    </row>
    <row r="139" customFormat="false" ht="15" hidden="false" customHeight="false" outlineLevel="0" collapsed="false">
      <c r="B139" s="10" t="n">
        <v>133</v>
      </c>
      <c r="C139" s="19"/>
      <c r="D139" s="19"/>
      <c r="E139" s="19"/>
      <c r="F139" s="19"/>
      <c r="G139" s="7"/>
      <c r="H139" s="7"/>
      <c r="I139" s="19"/>
      <c r="J139" s="19"/>
      <c r="K139" s="19"/>
      <c r="L139" s="19"/>
      <c r="M139" s="20" t="str">
        <f aca="false">IF(G139="","",IF(G139&lt;=Preço!$C$7,Preço!$B$7,IF(G139&lt;=Preço!$C$8,Preço!$B$8,IF(G139&lt;=Preço!$C$9,Preço!$B$9,Preço!$B$10))))</f>
        <v/>
      </c>
      <c r="N139" s="21" t="str">
        <f aca="false">IF(G139="","",Preço!$D$7+MAX(0,MIN(G139,Preço!$C$8)-Preço!$C$7)*Preço!$D$8+MAX(0,MIN(G139,Preço!$C$9)-Preço!$C$8)*Preço!$D$9+MAX(0,G139-Preço!$C$9)*Preço!$D$10)</f>
        <v/>
      </c>
      <c r="O139" s="21" t="str">
        <f aca="false">IF(G139="","",N139*12)</f>
        <v/>
      </c>
      <c r="P139" s="19"/>
    </row>
    <row r="140" customFormat="false" ht="15" hidden="false" customHeight="false" outlineLevel="0" collapsed="false">
      <c r="B140" s="10" t="n">
        <v>134</v>
      </c>
      <c r="C140" s="19"/>
      <c r="D140" s="19"/>
      <c r="E140" s="19"/>
      <c r="F140" s="19"/>
      <c r="G140" s="7"/>
      <c r="H140" s="7"/>
      <c r="I140" s="19"/>
      <c r="J140" s="19"/>
      <c r="K140" s="19"/>
      <c r="L140" s="19"/>
      <c r="M140" s="20" t="str">
        <f aca="false">IF(G140="","",IF(G140&lt;=Preço!$C$7,Preço!$B$7,IF(G140&lt;=Preço!$C$8,Preço!$B$8,IF(G140&lt;=Preço!$C$9,Preço!$B$9,Preço!$B$10))))</f>
        <v/>
      </c>
      <c r="N140" s="21" t="str">
        <f aca="false">IF(G140="","",Preço!$D$7+MAX(0,MIN(G140,Preço!$C$8)-Preço!$C$7)*Preço!$D$8+MAX(0,MIN(G140,Preço!$C$9)-Preço!$C$8)*Preço!$D$9+MAX(0,G140-Preço!$C$9)*Preço!$D$10)</f>
        <v/>
      </c>
      <c r="O140" s="21" t="str">
        <f aca="false">IF(G140="","",N140*12)</f>
        <v/>
      </c>
      <c r="P140" s="19"/>
    </row>
    <row r="141" customFormat="false" ht="15" hidden="false" customHeight="false" outlineLevel="0" collapsed="false">
      <c r="B141" s="10" t="n">
        <v>135</v>
      </c>
      <c r="C141" s="19"/>
      <c r="D141" s="19"/>
      <c r="E141" s="19"/>
      <c r="F141" s="19"/>
      <c r="G141" s="7"/>
      <c r="H141" s="7"/>
      <c r="I141" s="19"/>
      <c r="J141" s="19"/>
      <c r="K141" s="19"/>
      <c r="L141" s="19"/>
      <c r="M141" s="20" t="str">
        <f aca="false">IF(G141="","",IF(G141&lt;=Preço!$C$7,Preço!$B$7,IF(G141&lt;=Preço!$C$8,Preço!$B$8,IF(G141&lt;=Preço!$C$9,Preço!$B$9,Preço!$B$10))))</f>
        <v/>
      </c>
      <c r="N141" s="21" t="str">
        <f aca="false">IF(G141="","",Preço!$D$7+MAX(0,MIN(G141,Preço!$C$8)-Preço!$C$7)*Preço!$D$8+MAX(0,MIN(G141,Preço!$C$9)-Preço!$C$8)*Preço!$D$9+MAX(0,G141-Preço!$C$9)*Preço!$D$10)</f>
        <v/>
      </c>
      <c r="O141" s="21" t="str">
        <f aca="false">IF(G141="","",N141*12)</f>
        <v/>
      </c>
      <c r="P141" s="19"/>
    </row>
    <row r="142" customFormat="false" ht="15" hidden="false" customHeight="false" outlineLevel="0" collapsed="false">
      <c r="B142" s="10" t="n">
        <v>136</v>
      </c>
      <c r="C142" s="19"/>
      <c r="D142" s="19"/>
      <c r="E142" s="19"/>
      <c r="F142" s="19"/>
      <c r="G142" s="7"/>
      <c r="H142" s="7"/>
      <c r="I142" s="19"/>
      <c r="J142" s="19"/>
      <c r="K142" s="19"/>
      <c r="L142" s="19"/>
      <c r="M142" s="20" t="str">
        <f aca="false">IF(G142="","",IF(G142&lt;=Preço!$C$7,Preço!$B$7,IF(G142&lt;=Preço!$C$8,Preço!$B$8,IF(G142&lt;=Preço!$C$9,Preço!$B$9,Preço!$B$10))))</f>
        <v/>
      </c>
      <c r="N142" s="21" t="str">
        <f aca="false">IF(G142="","",Preço!$D$7+MAX(0,MIN(G142,Preço!$C$8)-Preço!$C$7)*Preço!$D$8+MAX(0,MIN(G142,Preço!$C$9)-Preço!$C$8)*Preço!$D$9+MAX(0,G142-Preço!$C$9)*Preço!$D$10)</f>
        <v/>
      </c>
      <c r="O142" s="21" t="str">
        <f aca="false">IF(G142="","",N142*12)</f>
        <v/>
      </c>
      <c r="P142" s="19"/>
    </row>
    <row r="143" customFormat="false" ht="15" hidden="false" customHeight="false" outlineLevel="0" collapsed="false">
      <c r="B143" s="10" t="n">
        <v>137</v>
      </c>
      <c r="C143" s="19"/>
      <c r="D143" s="19"/>
      <c r="E143" s="19"/>
      <c r="F143" s="19"/>
      <c r="G143" s="7"/>
      <c r="H143" s="7"/>
      <c r="I143" s="19"/>
      <c r="J143" s="19"/>
      <c r="K143" s="19"/>
      <c r="L143" s="19"/>
      <c r="M143" s="20" t="str">
        <f aca="false">IF(G143="","",IF(G143&lt;=Preço!$C$7,Preço!$B$7,IF(G143&lt;=Preço!$C$8,Preço!$B$8,IF(G143&lt;=Preço!$C$9,Preço!$B$9,Preço!$B$10))))</f>
        <v/>
      </c>
      <c r="N143" s="21" t="str">
        <f aca="false">IF(G143="","",Preço!$D$7+MAX(0,MIN(G143,Preço!$C$8)-Preço!$C$7)*Preço!$D$8+MAX(0,MIN(G143,Preço!$C$9)-Preço!$C$8)*Preço!$D$9+MAX(0,G143-Preço!$C$9)*Preço!$D$10)</f>
        <v/>
      </c>
      <c r="O143" s="21" t="str">
        <f aca="false">IF(G143="","",N143*12)</f>
        <v/>
      </c>
      <c r="P143" s="19"/>
    </row>
    <row r="144" customFormat="false" ht="15" hidden="false" customHeight="false" outlineLevel="0" collapsed="false">
      <c r="B144" s="10" t="n">
        <v>138</v>
      </c>
      <c r="C144" s="19"/>
      <c r="D144" s="19"/>
      <c r="E144" s="19"/>
      <c r="F144" s="19"/>
      <c r="G144" s="7"/>
      <c r="H144" s="7"/>
      <c r="I144" s="19"/>
      <c r="J144" s="19"/>
      <c r="K144" s="19"/>
      <c r="L144" s="19"/>
      <c r="M144" s="20" t="str">
        <f aca="false">IF(G144="","",IF(G144&lt;=Preço!$C$7,Preço!$B$7,IF(G144&lt;=Preço!$C$8,Preço!$B$8,IF(G144&lt;=Preço!$C$9,Preço!$B$9,Preço!$B$10))))</f>
        <v/>
      </c>
      <c r="N144" s="21" t="str">
        <f aca="false">IF(G144="","",Preço!$D$7+MAX(0,MIN(G144,Preço!$C$8)-Preço!$C$7)*Preço!$D$8+MAX(0,MIN(G144,Preço!$C$9)-Preço!$C$8)*Preço!$D$9+MAX(0,G144-Preço!$C$9)*Preço!$D$10)</f>
        <v/>
      </c>
      <c r="O144" s="21" t="str">
        <f aca="false">IF(G144="","",N144*12)</f>
        <v/>
      </c>
      <c r="P144" s="19"/>
    </row>
    <row r="145" customFormat="false" ht="15" hidden="false" customHeight="false" outlineLevel="0" collapsed="false">
      <c r="B145" s="10" t="n">
        <v>139</v>
      </c>
      <c r="C145" s="19"/>
      <c r="D145" s="19"/>
      <c r="E145" s="19"/>
      <c r="F145" s="19"/>
      <c r="G145" s="7"/>
      <c r="H145" s="7"/>
      <c r="I145" s="19"/>
      <c r="J145" s="19"/>
      <c r="K145" s="19"/>
      <c r="L145" s="19"/>
      <c r="M145" s="20" t="str">
        <f aca="false">IF(G145="","",IF(G145&lt;=Preço!$C$7,Preço!$B$7,IF(G145&lt;=Preço!$C$8,Preço!$B$8,IF(G145&lt;=Preço!$C$9,Preço!$B$9,Preço!$B$10))))</f>
        <v/>
      </c>
      <c r="N145" s="21" t="str">
        <f aca="false">IF(G145="","",Preço!$D$7+MAX(0,MIN(G145,Preço!$C$8)-Preço!$C$7)*Preço!$D$8+MAX(0,MIN(G145,Preço!$C$9)-Preço!$C$8)*Preço!$D$9+MAX(0,G145-Preço!$C$9)*Preço!$D$10)</f>
        <v/>
      </c>
      <c r="O145" s="21" t="str">
        <f aca="false">IF(G145="","",N145*12)</f>
        <v/>
      </c>
      <c r="P145" s="19"/>
    </row>
    <row r="146" customFormat="false" ht="15" hidden="false" customHeight="false" outlineLevel="0" collapsed="false">
      <c r="B146" s="10" t="n">
        <v>140</v>
      </c>
      <c r="C146" s="19"/>
      <c r="D146" s="19"/>
      <c r="E146" s="19"/>
      <c r="F146" s="19"/>
      <c r="G146" s="7"/>
      <c r="H146" s="7"/>
      <c r="I146" s="19"/>
      <c r="J146" s="19"/>
      <c r="K146" s="19"/>
      <c r="L146" s="19"/>
      <c r="M146" s="20" t="str">
        <f aca="false">IF(G146="","",IF(G146&lt;=Preço!$C$7,Preço!$B$7,IF(G146&lt;=Preço!$C$8,Preço!$B$8,IF(G146&lt;=Preço!$C$9,Preço!$B$9,Preço!$B$10))))</f>
        <v/>
      </c>
      <c r="N146" s="21" t="str">
        <f aca="false">IF(G146="","",Preço!$D$7+MAX(0,MIN(G146,Preço!$C$8)-Preço!$C$7)*Preço!$D$8+MAX(0,MIN(G146,Preço!$C$9)-Preço!$C$8)*Preço!$D$9+MAX(0,G146-Preço!$C$9)*Preço!$D$10)</f>
        <v/>
      </c>
      <c r="O146" s="21" t="str">
        <f aca="false">IF(G146="","",N146*12)</f>
        <v/>
      </c>
      <c r="P146" s="19"/>
    </row>
    <row r="147" customFormat="false" ht="15" hidden="false" customHeight="false" outlineLevel="0" collapsed="false">
      <c r="B147" s="10" t="n">
        <v>141</v>
      </c>
      <c r="C147" s="19"/>
      <c r="D147" s="19"/>
      <c r="E147" s="19"/>
      <c r="F147" s="19"/>
      <c r="G147" s="7"/>
      <c r="H147" s="7"/>
      <c r="I147" s="19"/>
      <c r="J147" s="19"/>
      <c r="K147" s="19"/>
      <c r="L147" s="19"/>
      <c r="M147" s="20" t="str">
        <f aca="false">IF(G147="","",IF(G147&lt;=Preço!$C$7,Preço!$B$7,IF(G147&lt;=Preço!$C$8,Preço!$B$8,IF(G147&lt;=Preço!$C$9,Preço!$B$9,Preço!$B$10))))</f>
        <v/>
      </c>
      <c r="N147" s="21" t="str">
        <f aca="false">IF(G147="","",Preço!$D$7+MAX(0,MIN(G147,Preço!$C$8)-Preço!$C$7)*Preço!$D$8+MAX(0,MIN(G147,Preço!$C$9)-Preço!$C$8)*Preço!$D$9+MAX(0,G147-Preço!$C$9)*Preço!$D$10)</f>
        <v/>
      </c>
      <c r="O147" s="21" t="str">
        <f aca="false">IF(G147="","",N147*12)</f>
        <v/>
      </c>
      <c r="P147" s="19"/>
    </row>
    <row r="148" customFormat="false" ht="15" hidden="false" customHeight="false" outlineLevel="0" collapsed="false">
      <c r="B148" s="10" t="n">
        <v>142</v>
      </c>
      <c r="C148" s="19"/>
      <c r="D148" s="19"/>
      <c r="E148" s="19"/>
      <c r="F148" s="19"/>
      <c r="G148" s="7"/>
      <c r="H148" s="7"/>
      <c r="I148" s="19"/>
      <c r="J148" s="19"/>
      <c r="K148" s="19"/>
      <c r="L148" s="19"/>
      <c r="M148" s="20" t="str">
        <f aca="false">IF(G148="","",IF(G148&lt;=Preço!$C$7,Preço!$B$7,IF(G148&lt;=Preço!$C$8,Preço!$B$8,IF(G148&lt;=Preço!$C$9,Preço!$B$9,Preço!$B$10))))</f>
        <v/>
      </c>
      <c r="N148" s="21" t="str">
        <f aca="false">IF(G148="","",Preço!$D$7+MAX(0,MIN(G148,Preço!$C$8)-Preço!$C$7)*Preço!$D$8+MAX(0,MIN(G148,Preço!$C$9)-Preço!$C$8)*Preço!$D$9+MAX(0,G148-Preço!$C$9)*Preço!$D$10)</f>
        <v/>
      </c>
      <c r="O148" s="21" t="str">
        <f aca="false">IF(G148="","",N148*12)</f>
        <v/>
      </c>
      <c r="P148" s="19"/>
    </row>
    <row r="149" customFormat="false" ht="15" hidden="false" customHeight="false" outlineLevel="0" collapsed="false">
      <c r="B149" s="10" t="n">
        <v>143</v>
      </c>
      <c r="C149" s="19"/>
      <c r="D149" s="19"/>
      <c r="E149" s="19"/>
      <c r="F149" s="19"/>
      <c r="G149" s="7"/>
      <c r="H149" s="7"/>
      <c r="I149" s="19"/>
      <c r="J149" s="19"/>
      <c r="K149" s="19"/>
      <c r="L149" s="19"/>
      <c r="M149" s="20" t="str">
        <f aca="false">IF(G149="","",IF(G149&lt;=Preço!$C$7,Preço!$B$7,IF(G149&lt;=Preço!$C$8,Preço!$B$8,IF(G149&lt;=Preço!$C$9,Preço!$B$9,Preço!$B$10))))</f>
        <v/>
      </c>
      <c r="N149" s="21" t="str">
        <f aca="false">IF(G149="","",Preço!$D$7+MAX(0,MIN(G149,Preço!$C$8)-Preço!$C$7)*Preço!$D$8+MAX(0,MIN(G149,Preço!$C$9)-Preço!$C$8)*Preço!$D$9+MAX(0,G149-Preço!$C$9)*Preço!$D$10)</f>
        <v/>
      </c>
      <c r="O149" s="21" t="str">
        <f aca="false">IF(G149="","",N149*12)</f>
        <v/>
      </c>
      <c r="P149" s="19"/>
    </row>
    <row r="150" customFormat="false" ht="15" hidden="false" customHeight="false" outlineLevel="0" collapsed="false">
      <c r="B150" s="10" t="n">
        <v>144</v>
      </c>
      <c r="C150" s="19"/>
      <c r="D150" s="19"/>
      <c r="E150" s="19"/>
      <c r="F150" s="19"/>
      <c r="G150" s="7"/>
      <c r="H150" s="7"/>
      <c r="I150" s="19"/>
      <c r="J150" s="19"/>
      <c r="K150" s="19"/>
      <c r="L150" s="19"/>
      <c r="M150" s="20" t="str">
        <f aca="false">IF(G150="","",IF(G150&lt;=Preço!$C$7,Preço!$B$7,IF(G150&lt;=Preço!$C$8,Preço!$B$8,IF(G150&lt;=Preço!$C$9,Preço!$B$9,Preço!$B$10))))</f>
        <v/>
      </c>
      <c r="N150" s="21" t="str">
        <f aca="false">IF(G150="","",Preço!$D$7+MAX(0,MIN(G150,Preço!$C$8)-Preço!$C$7)*Preço!$D$8+MAX(0,MIN(G150,Preço!$C$9)-Preço!$C$8)*Preço!$D$9+MAX(0,G150-Preço!$C$9)*Preço!$D$10)</f>
        <v/>
      </c>
      <c r="O150" s="21" t="str">
        <f aca="false">IF(G150="","",N150*12)</f>
        <v/>
      </c>
      <c r="P150" s="19"/>
    </row>
    <row r="151" customFormat="false" ht="15" hidden="false" customHeight="false" outlineLevel="0" collapsed="false">
      <c r="B151" s="10" t="n">
        <v>145</v>
      </c>
      <c r="C151" s="19"/>
      <c r="D151" s="19"/>
      <c r="E151" s="19"/>
      <c r="F151" s="19"/>
      <c r="G151" s="7"/>
      <c r="H151" s="7"/>
      <c r="I151" s="19"/>
      <c r="J151" s="19"/>
      <c r="K151" s="19"/>
      <c r="L151" s="19"/>
      <c r="M151" s="20" t="str">
        <f aca="false">IF(G151="","",IF(G151&lt;=Preço!$C$7,Preço!$B$7,IF(G151&lt;=Preço!$C$8,Preço!$B$8,IF(G151&lt;=Preço!$C$9,Preço!$B$9,Preço!$B$10))))</f>
        <v/>
      </c>
      <c r="N151" s="21" t="str">
        <f aca="false">IF(G151="","",Preço!$D$7+MAX(0,MIN(G151,Preço!$C$8)-Preço!$C$7)*Preço!$D$8+MAX(0,MIN(G151,Preço!$C$9)-Preço!$C$8)*Preço!$D$9+MAX(0,G151-Preço!$C$9)*Preço!$D$10)</f>
        <v/>
      </c>
      <c r="O151" s="21" t="str">
        <f aca="false">IF(G151="","",N151*12)</f>
        <v/>
      </c>
      <c r="P151" s="19"/>
    </row>
    <row r="152" customFormat="false" ht="15" hidden="false" customHeight="false" outlineLevel="0" collapsed="false">
      <c r="B152" s="10" t="n">
        <v>146</v>
      </c>
      <c r="C152" s="19"/>
      <c r="D152" s="19"/>
      <c r="E152" s="19"/>
      <c r="F152" s="19"/>
      <c r="G152" s="7"/>
      <c r="H152" s="7"/>
      <c r="I152" s="19"/>
      <c r="J152" s="19"/>
      <c r="K152" s="19"/>
      <c r="L152" s="19"/>
      <c r="M152" s="20" t="str">
        <f aca="false">IF(G152="","",IF(G152&lt;=Preço!$C$7,Preço!$B$7,IF(G152&lt;=Preço!$C$8,Preço!$B$8,IF(G152&lt;=Preço!$C$9,Preço!$B$9,Preço!$B$10))))</f>
        <v/>
      </c>
      <c r="N152" s="21" t="str">
        <f aca="false">IF(G152="","",Preço!$D$7+MAX(0,MIN(G152,Preço!$C$8)-Preço!$C$7)*Preço!$D$8+MAX(0,MIN(G152,Preço!$C$9)-Preço!$C$8)*Preço!$D$9+MAX(0,G152-Preço!$C$9)*Preço!$D$10)</f>
        <v/>
      </c>
      <c r="O152" s="21" t="str">
        <f aca="false">IF(G152="","",N152*12)</f>
        <v/>
      </c>
      <c r="P152" s="19"/>
    </row>
    <row r="153" customFormat="false" ht="15" hidden="false" customHeight="false" outlineLevel="0" collapsed="false">
      <c r="B153" s="10" t="n">
        <v>147</v>
      </c>
      <c r="C153" s="19"/>
      <c r="D153" s="19"/>
      <c r="E153" s="19"/>
      <c r="F153" s="19"/>
      <c r="G153" s="7"/>
      <c r="H153" s="7"/>
      <c r="I153" s="19"/>
      <c r="J153" s="19"/>
      <c r="K153" s="19"/>
      <c r="L153" s="19"/>
      <c r="M153" s="20" t="str">
        <f aca="false">IF(G153="","",IF(G153&lt;=Preço!$C$7,Preço!$B$7,IF(G153&lt;=Preço!$C$8,Preço!$B$8,IF(G153&lt;=Preço!$C$9,Preço!$B$9,Preço!$B$10))))</f>
        <v/>
      </c>
      <c r="N153" s="21" t="str">
        <f aca="false">IF(G153="","",Preço!$D$7+MAX(0,MIN(G153,Preço!$C$8)-Preço!$C$7)*Preço!$D$8+MAX(0,MIN(G153,Preço!$C$9)-Preço!$C$8)*Preço!$D$9+MAX(0,G153-Preço!$C$9)*Preço!$D$10)</f>
        <v/>
      </c>
      <c r="O153" s="21" t="str">
        <f aca="false">IF(G153="","",N153*12)</f>
        <v/>
      </c>
      <c r="P153" s="19"/>
    </row>
    <row r="154" customFormat="false" ht="15" hidden="false" customHeight="false" outlineLevel="0" collapsed="false">
      <c r="B154" s="10" t="n">
        <v>148</v>
      </c>
      <c r="C154" s="19"/>
      <c r="D154" s="19"/>
      <c r="E154" s="19"/>
      <c r="F154" s="19"/>
      <c r="G154" s="7"/>
      <c r="H154" s="7"/>
      <c r="I154" s="19"/>
      <c r="J154" s="19"/>
      <c r="K154" s="19"/>
      <c r="L154" s="19"/>
      <c r="M154" s="20" t="str">
        <f aca="false">IF(G154="","",IF(G154&lt;=Preço!$C$7,Preço!$B$7,IF(G154&lt;=Preço!$C$8,Preço!$B$8,IF(G154&lt;=Preço!$C$9,Preço!$B$9,Preço!$B$10))))</f>
        <v/>
      </c>
      <c r="N154" s="21" t="str">
        <f aca="false">IF(G154="","",Preço!$D$7+MAX(0,MIN(G154,Preço!$C$8)-Preço!$C$7)*Preço!$D$8+MAX(0,MIN(G154,Preço!$C$9)-Preço!$C$8)*Preço!$D$9+MAX(0,G154-Preço!$C$9)*Preço!$D$10)</f>
        <v/>
      </c>
      <c r="O154" s="21" t="str">
        <f aca="false">IF(G154="","",N154*12)</f>
        <v/>
      </c>
      <c r="P154" s="19"/>
    </row>
    <row r="155" customFormat="false" ht="15" hidden="false" customHeight="false" outlineLevel="0" collapsed="false">
      <c r="B155" s="10" t="n">
        <v>149</v>
      </c>
      <c r="C155" s="19"/>
      <c r="D155" s="19"/>
      <c r="E155" s="19"/>
      <c r="F155" s="19"/>
      <c r="G155" s="7"/>
      <c r="H155" s="7"/>
      <c r="I155" s="19"/>
      <c r="J155" s="19"/>
      <c r="K155" s="19"/>
      <c r="L155" s="19"/>
      <c r="M155" s="20" t="str">
        <f aca="false">IF(G155="","",IF(G155&lt;=Preço!$C$7,Preço!$B$7,IF(G155&lt;=Preço!$C$8,Preço!$B$8,IF(G155&lt;=Preço!$C$9,Preço!$B$9,Preço!$B$10))))</f>
        <v/>
      </c>
      <c r="N155" s="21" t="str">
        <f aca="false">IF(G155="","",Preço!$D$7+MAX(0,MIN(G155,Preço!$C$8)-Preço!$C$7)*Preço!$D$8+MAX(0,MIN(G155,Preço!$C$9)-Preço!$C$8)*Preço!$D$9+MAX(0,G155-Preço!$C$9)*Preço!$D$10)</f>
        <v/>
      </c>
      <c r="O155" s="21" t="str">
        <f aca="false">IF(G155="","",N155*12)</f>
        <v/>
      </c>
      <c r="P155" s="19"/>
    </row>
    <row r="156" customFormat="false" ht="15" hidden="false" customHeight="false" outlineLevel="0" collapsed="false">
      <c r="B156" s="10" t="n">
        <v>150</v>
      </c>
      <c r="C156" s="19"/>
      <c r="D156" s="19"/>
      <c r="E156" s="19"/>
      <c r="F156" s="19"/>
      <c r="G156" s="7"/>
      <c r="H156" s="7"/>
      <c r="I156" s="19"/>
      <c r="J156" s="19"/>
      <c r="K156" s="19"/>
      <c r="L156" s="19"/>
      <c r="M156" s="20" t="str">
        <f aca="false">IF(G156="","",IF(G156&lt;=Preço!$C$7,Preço!$B$7,IF(G156&lt;=Preço!$C$8,Preço!$B$8,IF(G156&lt;=Preço!$C$9,Preço!$B$9,Preço!$B$10))))</f>
        <v/>
      </c>
      <c r="N156" s="21" t="str">
        <f aca="false">IF(G156="","",Preço!$D$7+MAX(0,MIN(G156,Preço!$C$8)-Preço!$C$7)*Preço!$D$8+MAX(0,MIN(G156,Preço!$C$9)-Preço!$C$8)*Preço!$D$9+MAX(0,G156-Preço!$C$9)*Preço!$D$10)</f>
        <v/>
      </c>
      <c r="O156" s="21" t="str">
        <f aca="false">IF(G156="","",N156*12)</f>
        <v/>
      </c>
      <c r="P156" s="19"/>
    </row>
    <row r="157" customFormat="false" ht="15" hidden="false" customHeight="false" outlineLevel="0" collapsed="false">
      <c r="B157" s="22"/>
      <c r="C157" s="22" t="s">
        <v>103</v>
      </c>
      <c r="D157" s="22"/>
      <c r="E157" s="22"/>
      <c r="F157" s="22"/>
      <c r="G157" s="18" t="n">
        <f aca="false">SUM(G7:G156)</f>
        <v>0</v>
      </c>
      <c r="H157" s="22"/>
      <c r="I157" s="22"/>
      <c r="J157" s="22"/>
      <c r="K157" s="22"/>
      <c r="L157" s="22"/>
      <c r="M157" s="22"/>
      <c r="N157" s="23" t="n">
        <f aca="false">SUM(N7:N156)</f>
        <v>0</v>
      </c>
      <c r="O157" s="23" t="n">
        <f aca="false">SUM(O7:O156)</f>
        <v>0</v>
      </c>
      <c r="P157" s="22"/>
    </row>
    <row r="159" customFormat="false" ht="15" hidden="false" customHeight="false" outlineLevel="0" collapsed="false">
      <c r="C159" s="24" t="s">
        <v>104</v>
      </c>
      <c r="G159" s="25" t="n">
        <f aca="false">COUNTA(C7:C156)</f>
        <v>0</v>
      </c>
    </row>
    <row r="160" customFormat="false" ht="15" hidden="false" customHeight="false" outlineLevel="0" collapsed="false">
      <c r="C160" s="24" t="s">
        <v>105</v>
      </c>
      <c r="G160" s="25" t="n">
        <f aca="false">COUNT(G7:G156)</f>
        <v>0</v>
      </c>
    </row>
    <row r="161" customFormat="false" ht="15" hidden="false" customHeight="false" outlineLevel="0" collapsed="false">
      <c r="C161" s="24" t="s">
        <v>106</v>
      </c>
      <c r="G161" s="25" t="n">
        <f aca="false">COUNTIF(K7:K156,"7 - Fechado")</f>
        <v>0</v>
      </c>
    </row>
    <row r="162" customFormat="false" ht="15" hidden="false" customHeight="false" outlineLevel="0" collapsed="false">
      <c r="C162" s="24" t="s">
        <v>107</v>
      </c>
      <c r="G162" s="26" t="n">
        <f aca="false">N157</f>
        <v>0</v>
      </c>
      <c r="H162" s="26"/>
    </row>
    <row r="163" customFormat="false" ht="15" hidden="false" customHeight="false" outlineLevel="0" collapsed="false">
      <c r="C163" s="24" t="s">
        <v>108</v>
      </c>
      <c r="G163" s="26" t="n">
        <f aca="false">O157</f>
        <v>0</v>
      </c>
      <c r="H163" s="26"/>
    </row>
  </sheetData>
  <mergeCells count="2">
    <mergeCell ref="G162:H162"/>
    <mergeCell ref="G163:H163"/>
  </mergeCells>
  <dataValidations count="2">
    <dataValidation allowBlank="true" errorStyle="stop" operator="between" showDropDown="false" showErrorMessage="false" showInputMessage="false" sqref="K7:K156" type="list">
      <formula1>"1 - Mapeado,2 - Contato feito,3 - Diagnóstico,4 - Demo agendada,5 - Proposta enviada,6 - Assembleia marcada,7 - Fechado,X - Descartado"</formula1>
      <formula2>0</formula2>
    </dataValidation>
    <dataValidation allowBlank="true" errorStyle="stop" operator="between" showDropDown="false" showErrorMessage="false" showInputMessage="false" sqref="D7:D156" type="list">
      <formula1>Bairros!$C$7:$C$52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8"/>
  </cols>
  <sheetData>
    <row r="2" customFormat="false" ht="18.55" hidden="false" customHeight="false" outlineLevel="0" collapsed="false">
      <c r="B2" s="1" t="s">
        <v>109</v>
      </c>
    </row>
    <row r="3" customFormat="false" ht="15" hidden="false" customHeight="false" outlineLevel="0" collapsed="false">
      <c r="B3" s="2" t="s">
        <v>110</v>
      </c>
    </row>
    <row r="6" customFormat="false" ht="33.75" hidden="false" customHeight="true" outlineLevel="0" collapsed="false">
      <c r="B6" s="5" t="s">
        <v>37</v>
      </c>
      <c r="C6" s="5" t="s">
        <v>111</v>
      </c>
      <c r="D6" s="5" t="s">
        <v>24</v>
      </c>
      <c r="E6" s="5" t="s">
        <v>21</v>
      </c>
      <c r="F6" s="5" t="s">
        <v>101</v>
      </c>
      <c r="G6" s="5" t="s">
        <v>102</v>
      </c>
    </row>
    <row r="7" customFormat="false" ht="15" hidden="false" customHeight="false" outlineLevel="0" collapsed="false">
      <c r="B7" s="20" t="n">
        <v>1</v>
      </c>
      <c r="C7" s="14" t="s">
        <v>112</v>
      </c>
      <c r="D7" s="7" t="n">
        <v>308</v>
      </c>
      <c r="E7" s="20" t="str">
        <f aca="false">IF(D7&lt;=Preço!$C$7,Preço!$B$7,IF(D7&lt;=Preço!$C$8,Preço!$B$8,IF(D7&lt;=Preço!$C$9,Preço!$B$9,Preço!$B$10)))</f>
        <v>Corporativo</v>
      </c>
      <c r="F7" s="21" t="n">
        <f aca="false">Preço!$D$7+MAX(0,MIN(D7,Preço!$C$8)-Preço!$C$7)*Preço!$D$8+MAX(0,MIN(D7,Preço!$C$9)-Preço!$C$8)*Preço!$D$9+MAX(0,D7-Preço!$C$9)*Preço!$D$10</f>
        <v>3366.2</v>
      </c>
      <c r="G7" s="21" t="n">
        <f aca="false">F7*12</f>
        <v>40394.4</v>
      </c>
    </row>
    <row r="8" customFormat="false" ht="15" hidden="false" customHeight="false" outlineLevel="0" collapsed="false">
      <c r="B8" s="27" t="n">
        <v>2</v>
      </c>
      <c r="C8" s="16" t="s">
        <v>113</v>
      </c>
      <c r="D8" s="7" t="n">
        <v>200</v>
      </c>
      <c r="E8" s="27" t="str">
        <f aca="false">IF(D8&lt;=Preço!$C$7,Preço!$B$7,IF(D8&lt;=Preço!$C$8,Preço!$B$8,IF(D8&lt;=Preço!$C$9,Preço!$B$9,Preço!$B$10)))</f>
        <v>Corporativo</v>
      </c>
      <c r="F8" s="28" t="n">
        <f aca="false">Preço!$D$7+MAX(0,MIN(D8,Preço!$C$8)-Preço!$C$7)*Preço!$D$8+MAX(0,MIN(D8,Preço!$C$9)-Preço!$C$8)*Preço!$D$9+MAX(0,D8-Preço!$C$9)*Preço!$D$10</f>
        <v>2081</v>
      </c>
      <c r="G8" s="28" t="n">
        <f aca="false">F8*12</f>
        <v>24972</v>
      </c>
    </row>
    <row r="9" customFormat="false" ht="15" hidden="false" customHeight="false" outlineLevel="0" collapsed="false">
      <c r="B9" s="20" t="n">
        <v>3</v>
      </c>
      <c r="C9" s="14" t="s">
        <v>114</v>
      </c>
      <c r="D9" s="7" t="n">
        <v>160</v>
      </c>
      <c r="E9" s="20" t="str">
        <f aca="false">IF(D9&lt;=Preço!$C$7,Preço!$B$7,IF(D9&lt;=Preço!$C$8,Preço!$B$8,IF(D9&lt;=Preço!$C$9,Preço!$B$9,Preço!$B$10)))</f>
        <v>Corporativo</v>
      </c>
      <c r="F9" s="21" t="n">
        <f aca="false">Preço!$D$7+MAX(0,MIN(D9,Preço!$C$8)-Preço!$C$7)*Preço!$D$8+MAX(0,MIN(D9,Preço!$C$9)-Preço!$C$8)*Preço!$D$9+MAX(0,D9-Preço!$C$9)*Preço!$D$10</f>
        <v>1605</v>
      </c>
      <c r="G9" s="21" t="n">
        <f aca="false">F9*12</f>
        <v>19260</v>
      </c>
    </row>
    <row r="10" customFormat="false" ht="15" hidden="false" customHeight="false" outlineLevel="0" collapsed="false">
      <c r="B10" s="27" t="n">
        <v>4</v>
      </c>
      <c r="C10" s="16" t="s">
        <v>115</v>
      </c>
      <c r="D10" s="7" t="n">
        <v>120</v>
      </c>
      <c r="E10" s="27" t="str">
        <f aca="false">IF(D10&lt;=Preço!$C$7,Preço!$B$7,IF(D10&lt;=Preço!$C$8,Preço!$B$8,IF(D10&lt;=Preço!$C$9,Preço!$B$9,Preço!$B$10)))</f>
        <v>Plus</v>
      </c>
      <c r="F10" s="28" t="n">
        <f aca="false">Preço!$D$7+MAX(0,MIN(D10,Preço!$C$8)-Preço!$C$7)*Preço!$D$8+MAX(0,MIN(D10,Preço!$C$9)-Preço!$C$8)*Preço!$D$9+MAX(0,D10-Preço!$C$9)*Preço!$D$10</f>
        <v>1129</v>
      </c>
      <c r="G10" s="28" t="n">
        <f aca="false">F10*12</f>
        <v>13548</v>
      </c>
    </row>
    <row r="11" customFormat="false" ht="15" hidden="false" customHeight="false" outlineLevel="0" collapsed="false">
      <c r="B11" s="20" t="n">
        <v>5</v>
      </c>
      <c r="C11" s="14" t="s">
        <v>116</v>
      </c>
      <c r="D11" s="7" t="n">
        <v>112</v>
      </c>
      <c r="E11" s="20" t="str">
        <f aca="false">IF(D11&lt;=Preço!$C$7,Preço!$B$7,IF(D11&lt;=Preço!$C$8,Preço!$B$8,IF(D11&lt;=Preço!$C$9,Preço!$B$9,Preço!$B$10)))</f>
        <v>Plus</v>
      </c>
      <c r="F11" s="21" t="n">
        <f aca="false">Preço!$D$7+MAX(0,MIN(D11,Preço!$C$8)-Preço!$C$7)*Preço!$D$8+MAX(0,MIN(D11,Preço!$C$9)-Preço!$C$8)*Preço!$D$9+MAX(0,D11-Preço!$C$9)*Preço!$D$10</f>
        <v>1057.8</v>
      </c>
      <c r="G11" s="21" t="n">
        <f aca="false">F11*12</f>
        <v>12693.6</v>
      </c>
    </row>
    <row r="12" customFormat="false" ht="15" hidden="false" customHeight="false" outlineLevel="0" collapsed="false">
      <c r="B12" s="27" t="n">
        <v>6</v>
      </c>
      <c r="C12" s="16" t="s">
        <v>117</v>
      </c>
      <c r="D12" s="7" t="n">
        <v>64</v>
      </c>
      <c r="E12" s="27" t="str">
        <f aca="false">IF(D12&lt;=Preço!$C$7,Preço!$B$7,IF(D12&lt;=Preço!$C$8,Preço!$B$8,IF(D12&lt;=Preço!$C$9,Preço!$B$9,Preço!$B$10)))</f>
        <v>Plus</v>
      </c>
      <c r="F12" s="28" t="n">
        <f aca="false">Preço!$D$7+MAX(0,MIN(D12,Preço!$C$8)-Preço!$C$7)*Preço!$D$8+MAX(0,MIN(D12,Preço!$C$9)-Preço!$C$8)*Preço!$D$9+MAX(0,D12-Preço!$C$9)*Preço!$D$10</f>
        <v>630.6</v>
      </c>
      <c r="G12" s="28" t="n">
        <f aca="false">F12*12</f>
        <v>7567.2</v>
      </c>
    </row>
    <row r="13" customFormat="false" ht="15" hidden="false" customHeight="false" outlineLevel="0" collapsed="false">
      <c r="B13" s="20" t="n">
        <v>7</v>
      </c>
      <c r="C13" s="14" t="s">
        <v>118</v>
      </c>
      <c r="D13" s="7" t="n">
        <v>24</v>
      </c>
      <c r="E13" s="20" t="str">
        <f aca="false">IF(D13&lt;=Preço!$C$7,Preço!$B$7,IF(D13&lt;=Preço!$C$8,Preço!$B$8,IF(D13&lt;=Preço!$C$9,Preço!$B$9,Preço!$B$10)))</f>
        <v>Compacto</v>
      </c>
      <c r="F13" s="21" t="n">
        <f aca="false">Preço!$D$7+MAX(0,MIN(D13,Preço!$C$8)-Preço!$C$7)*Preço!$D$8+MAX(0,MIN(D13,Preço!$C$9)-Preço!$C$8)*Preço!$D$9+MAX(0,D13-Preço!$C$9)*Preço!$D$10</f>
        <v>298</v>
      </c>
      <c r="G13" s="21" t="n">
        <f aca="false">F13*12</f>
        <v>3576</v>
      </c>
    </row>
    <row r="14" customFormat="false" ht="15" hidden="false" customHeight="false" outlineLevel="0" collapsed="false">
      <c r="B14" s="27" t="n">
        <v>8</v>
      </c>
      <c r="C14" s="16" t="s">
        <v>119</v>
      </c>
      <c r="D14" s="7" t="n">
        <v>24</v>
      </c>
      <c r="E14" s="27" t="str">
        <f aca="false">IF(D14&lt;=Preço!$C$7,Preço!$B$7,IF(D14&lt;=Preço!$C$8,Preço!$B$8,IF(D14&lt;=Preço!$C$9,Preço!$B$9,Preço!$B$10)))</f>
        <v>Compacto</v>
      </c>
      <c r="F14" s="28" t="n">
        <f aca="false">Preço!$D$7+MAX(0,MIN(D14,Preço!$C$8)-Preço!$C$7)*Preço!$D$8+MAX(0,MIN(D14,Preço!$C$9)-Preço!$C$8)*Preço!$D$9+MAX(0,D14-Preço!$C$9)*Preço!$D$10</f>
        <v>298</v>
      </c>
      <c r="G14" s="28" t="n">
        <f aca="false">F14*12</f>
        <v>3576</v>
      </c>
    </row>
    <row r="15" customFormat="false" ht="15" hidden="false" customHeight="false" outlineLevel="0" collapsed="false">
      <c r="B15" s="20" t="n">
        <v>9</v>
      </c>
      <c r="C15" s="14" t="s">
        <v>120</v>
      </c>
      <c r="D15" s="7" t="n">
        <v>24</v>
      </c>
      <c r="E15" s="20" t="str">
        <f aca="false">IF(D15&lt;=Preço!$C$7,Preço!$B$7,IF(D15&lt;=Preço!$C$8,Preço!$B$8,IF(D15&lt;=Preço!$C$9,Preço!$B$9,Preço!$B$10)))</f>
        <v>Compacto</v>
      </c>
      <c r="F15" s="21" t="n">
        <f aca="false">Preço!$D$7+MAX(0,MIN(D15,Preço!$C$8)-Preço!$C$7)*Preço!$D$8+MAX(0,MIN(D15,Preço!$C$9)-Preço!$C$8)*Preço!$D$9+MAX(0,D15-Preço!$C$9)*Preço!$D$10</f>
        <v>298</v>
      </c>
      <c r="G15" s="21" t="n">
        <f aca="false">F15*12</f>
        <v>3576</v>
      </c>
    </row>
    <row r="16" customFormat="false" ht="15" hidden="false" customHeight="false" outlineLevel="0" collapsed="false">
      <c r="B16" s="27" t="n">
        <v>10</v>
      </c>
      <c r="C16" s="16" t="s">
        <v>121</v>
      </c>
      <c r="D16" s="7" t="n">
        <v>22</v>
      </c>
      <c r="E16" s="27" t="str">
        <f aca="false">IF(D16&lt;=Preço!$C$7,Preço!$B$7,IF(D16&lt;=Preço!$C$8,Preço!$B$8,IF(D16&lt;=Preço!$C$9,Preço!$B$9,Preço!$B$10)))</f>
        <v>Compacto</v>
      </c>
      <c r="F16" s="28" t="n">
        <f aca="false">Preço!$D$7+MAX(0,MIN(D16,Preço!$C$8)-Preço!$C$7)*Preço!$D$8+MAX(0,MIN(D16,Preço!$C$9)-Preço!$C$8)*Preço!$D$9+MAX(0,D16-Preço!$C$9)*Preço!$D$10</f>
        <v>298</v>
      </c>
      <c r="G16" s="28" t="n">
        <f aca="false">F16*12</f>
        <v>3576</v>
      </c>
    </row>
    <row r="17" customFormat="false" ht="15" hidden="false" customHeight="false" outlineLevel="0" collapsed="false">
      <c r="B17" s="20" t="n">
        <v>11</v>
      </c>
      <c r="C17" s="14" t="s">
        <v>122</v>
      </c>
      <c r="D17" s="7" t="n">
        <v>20</v>
      </c>
      <c r="E17" s="20" t="str">
        <f aca="false">IF(D17&lt;=Preço!$C$7,Preço!$B$7,IF(D17&lt;=Preço!$C$8,Preço!$B$8,IF(D17&lt;=Preço!$C$9,Preço!$B$9,Preço!$B$10)))</f>
        <v>Compacto</v>
      </c>
      <c r="F17" s="21" t="n">
        <f aca="false">Preço!$D$7+MAX(0,MIN(D17,Preço!$C$8)-Preço!$C$7)*Preço!$D$8+MAX(0,MIN(D17,Preço!$C$9)-Preço!$C$8)*Preço!$D$9+MAX(0,D17-Preço!$C$9)*Preço!$D$10</f>
        <v>298</v>
      </c>
      <c r="G17" s="21" t="n">
        <f aca="false">F17*12</f>
        <v>3576</v>
      </c>
    </row>
    <row r="18" customFormat="false" ht="15" hidden="false" customHeight="false" outlineLevel="0" collapsed="false">
      <c r="B18" s="27" t="n">
        <v>12</v>
      </c>
      <c r="C18" s="16" t="s">
        <v>123</v>
      </c>
      <c r="D18" s="7" t="n">
        <v>20</v>
      </c>
      <c r="E18" s="27" t="str">
        <f aca="false">IF(D18&lt;=Preço!$C$7,Preço!$B$7,IF(D18&lt;=Preço!$C$8,Preço!$B$8,IF(D18&lt;=Preço!$C$9,Preço!$B$9,Preço!$B$10)))</f>
        <v>Compacto</v>
      </c>
      <c r="F18" s="28" t="n">
        <f aca="false">Preço!$D$7+MAX(0,MIN(D18,Preço!$C$8)-Preço!$C$7)*Preço!$D$8+MAX(0,MIN(D18,Preço!$C$9)-Preço!$C$8)*Preço!$D$9+MAX(0,D18-Preço!$C$9)*Preço!$D$10</f>
        <v>298</v>
      </c>
      <c r="G18" s="28" t="n">
        <f aca="false">F18*12</f>
        <v>3576</v>
      </c>
    </row>
    <row r="19" customFormat="false" ht="15" hidden="false" customHeight="false" outlineLevel="0" collapsed="false">
      <c r="B19" s="20" t="n">
        <v>13</v>
      </c>
      <c r="C19" s="14" t="s">
        <v>124</v>
      </c>
      <c r="D19" s="7" t="n">
        <v>16</v>
      </c>
      <c r="E19" s="20" t="str">
        <f aca="false">IF(D19&lt;=Preço!$C$7,Preço!$B$7,IF(D19&lt;=Preço!$C$8,Preço!$B$8,IF(D19&lt;=Preço!$C$9,Preço!$B$9,Preço!$B$10)))</f>
        <v>Compacto</v>
      </c>
      <c r="F19" s="21" t="n">
        <f aca="false">Preço!$D$7+MAX(0,MIN(D19,Preço!$C$8)-Preço!$C$7)*Preço!$D$8+MAX(0,MIN(D19,Preço!$C$9)-Preço!$C$8)*Preço!$D$9+MAX(0,D19-Preço!$C$9)*Preço!$D$10</f>
        <v>298</v>
      </c>
      <c r="G19" s="21" t="n">
        <f aca="false">F19*12</f>
        <v>3576</v>
      </c>
    </row>
    <row r="20" customFormat="false" ht="15" hidden="false" customHeight="false" outlineLevel="0" collapsed="false">
      <c r="B20" s="27" t="n">
        <v>14</v>
      </c>
      <c r="C20" s="16" t="s">
        <v>125</v>
      </c>
      <c r="D20" s="7" t="n">
        <v>15</v>
      </c>
      <c r="E20" s="27" t="str">
        <f aca="false">IF(D20&lt;=Preço!$C$7,Preço!$B$7,IF(D20&lt;=Preço!$C$8,Preço!$B$8,IF(D20&lt;=Preço!$C$9,Preço!$B$9,Preço!$B$10)))</f>
        <v>Compacto</v>
      </c>
      <c r="F20" s="28" t="n">
        <f aca="false">Preço!$D$7+MAX(0,MIN(D20,Preço!$C$8)-Preço!$C$7)*Preço!$D$8+MAX(0,MIN(D20,Preço!$C$9)-Preço!$C$8)*Preço!$D$9+MAX(0,D20-Preço!$C$9)*Preço!$D$10</f>
        <v>298</v>
      </c>
      <c r="G20" s="28" t="n">
        <f aca="false">F20*12</f>
        <v>3576</v>
      </c>
    </row>
    <row r="21" customFormat="false" ht="15" hidden="false" customHeight="false" outlineLevel="0" collapsed="false">
      <c r="B21" s="20" t="n">
        <v>15</v>
      </c>
      <c r="C21" s="14" t="s">
        <v>126</v>
      </c>
      <c r="D21" s="7" t="n">
        <v>12</v>
      </c>
      <c r="E21" s="20" t="str">
        <f aca="false">IF(D21&lt;=Preço!$C$7,Preço!$B$7,IF(D21&lt;=Preço!$C$8,Preço!$B$8,IF(D21&lt;=Preço!$C$9,Preço!$B$9,Preço!$B$10)))</f>
        <v>Compacto</v>
      </c>
      <c r="F21" s="21" t="n">
        <f aca="false">Preço!$D$7+MAX(0,MIN(D21,Preço!$C$8)-Preço!$C$7)*Preço!$D$8+MAX(0,MIN(D21,Preço!$C$9)-Preço!$C$8)*Preço!$D$9+MAX(0,D21-Preço!$C$9)*Preço!$D$10</f>
        <v>298</v>
      </c>
      <c r="G21" s="21" t="n">
        <f aca="false">F21*12</f>
        <v>3576</v>
      </c>
    </row>
    <row r="22" customFormat="false" ht="15" hidden="false" customHeight="false" outlineLevel="0" collapsed="false">
      <c r="B22" s="22"/>
      <c r="C22" s="22" t="s">
        <v>127</v>
      </c>
      <c r="D22" s="18" t="n">
        <f aca="false">SUM(D7:D21)</f>
        <v>1141</v>
      </c>
      <c r="E22" s="22"/>
      <c r="F22" s="23" t="n">
        <f aca="false">SUM(F7:F21)</f>
        <v>12551.6</v>
      </c>
      <c r="G22" s="23" t="n">
        <f aca="false">SUM(G7:G21)</f>
        <v>150619.2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2026-09-02T00:14:48Z</dcterms:created>
  <dc:creator>openpyxl</dc:creator>
  <dc:description/>
  <dc:language>en-US</dc:language>
  <cp:lastModifiedBy/>
  <dcterms:modified xsi:type="dcterms:W3CDTF">2026-09-02T00:14:48Z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