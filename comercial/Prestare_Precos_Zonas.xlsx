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missas" sheetId="1" state="visible" r:id="rId3"/>
    <sheet name="Carteira Prestare" sheetId="2" state="visible" r:id="rId4"/>
    <sheet name="Simulador" sheetId="3" state="visible" r:id="rId5"/>
    <sheet name="Tabela de referência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<sst xmlns="http://schemas.openxmlformats.org/spreadsheetml/2006/main" count="79" uniqueCount="65">
  <si>
    <t xml:space="preserve">Prestare — Gestão · Tabela de preço por zonas</t>
  </si>
  <si>
    <t xml:space="preserve">Modelo em curva de U. Edite somente as células amarelas — todo o resto é fórmula.</t>
  </si>
  <si>
    <t xml:space="preserve">Faixa</t>
  </si>
  <si>
    <t xml:space="preserve">Unidades</t>
  </si>
  <si>
    <t xml:space="preserve">Limite superior</t>
  </si>
  <si>
    <t xml:space="preserve">Valor</t>
  </si>
  <si>
    <t xml:space="preserve">O que está incluído</t>
  </si>
  <si>
    <t xml:space="preserve">Compacto</t>
  </si>
  <si>
    <t xml:space="preserve">Até 30 unidades</t>
  </si>
  <si>
    <t xml:space="preserve">1 bloco · 1 terminal facial · suporte comercial</t>
  </si>
  <si>
    <t xml:space="preserve">Padrão</t>
  </si>
  <si>
    <t xml:space="preserve">Da 31ª à 60ª</t>
  </si>
  <si>
    <t xml:space="preserve">Até 2 blocos · 1 terminal facial</t>
  </si>
  <si>
    <t xml:space="preserve">Plus</t>
  </si>
  <si>
    <t xml:space="preserve">Da 61ª à 120ª</t>
  </si>
  <si>
    <t xml:space="preserve">Até 3 blocos · 2 terminais faciais</t>
  </si>
  <si>
    <t xml:space="preserve">Corporativo</t>
  </si>
  <si>
    <t xml:space="preserve">Acima da 120ª</t>
  </si>
  <si>
    <t xml:space="preserve">—</t>
  </si>
  <si>
    <t xml:space="preserve">Blocos ilimitados · terminais adicionais · gestor de conta · SLA prioritário · relatório mensal ao conselho</t>
  </si>
  <si>
    <t xml:space="preserve">Taxa de implantação (única)</t>
  </si>
  <si>
    <t xml:space="preserve">Como o preço é calculado</t>
  </si>
  <si>
    <t xml:space="preserve">O valor da faixa Compacto é fixo e cobre as 30 primeiras unidades. A partir da 31ª, cada unidade entra na sua zona: da 31ª à 60ª a R$ 9,90; da 61ª à 120ª a R$ 8,90; acima da 120ª a R$ 11,90. Um condomínio de 200 unidades paga R$ 298 + (30 × 9,90) + (60 × 8,90) + (80 × 11,90).</t>
  </si>
  <si>
    <t xml:space="preserve">Fonte: tabela de zonas definida por Vinicius / Prestare em 26/08/2026. Unidades da carteira informadas pelo cliente.</t>
  </si>
  <si>
    <t xml:space="preserve">Carteira atual — 15 condomínios</t>
  </si>
  <si>
    <t xml:space="preserve">Preço já calculado pelo modelo de zonas. Para corrigir um condomínio, altere só a coluna Unidades (amarela).</t>
  </si>
  <si>
    <t xml:space="preserve">#</t>
  </si>
  <si>
    <t xml:space="preserve">Condomínio</t>
  </si>
  <si>
    <t xml:space="preserve">Mensalidade</t>
  </si>
  <si>
    <t xml:space="preserve">Por apartamento</t>
  </si>
  <si>
    <t xml:space="preserve">Implantação</t>
  </si>
  <si>
    <t xml:space="preserve">1º mês</t>
  </si>
  <si>
    <t xml:space="preserve">Receita 12 meses</t>
  </si>
  <si>
    <t xml:space="preserve">Damha</t>
  </si>
  <si>
    <t xml:space="preserve">Ideal Life</t>
  </si>
  <si>
    <t xml:space="preserve">Duarte Nogueira</t>
  </si>
  <si>
    <t xml:space="preserve">Jardim Alvorada</t>
  </si>
  <si>
    <t xml:space="preserve">Casa Pienza</t>
  </si>
  <si>
    <t xml:space="preserve">Solar dos Ipês</t>
  </si>
  <si>
    <t xml:space="preserve">Moreschi</t>
  </si>
  <si>
    <t xml:space="preserve">Rio Negro</t>
  </si>
  <si>
    <t xml:space="preserve">Santa Andélia</t>
  </si>
  <si>
    <t xml:space="preserve">Veredas do Sol</t>
  </si>
  <si>
    <t xml:space="preserve">Grão Pará</t>
  </si>
  <si>
    <t xml:space="preserve">Santos Dumont</t>
  </si>
  <si>
    <t xml:space="preserve">Santorini</t>
  </si>
  <si>
    <t xml:space="preserve">Santa Josefa</t>
  </si>
  <si>
    <t xml:space="preserve">Porto Seguro</t>
  </si>
  <si>
    <t xml:space="preserve">TOTAL DA CARTEIRA</t>
  </si>
  <si>
    <t xml:space="preserve">Condomínios na carteira</t>
  </si>
  <si>
    <t xml:space="preserve">Média de unidades por condomínio</t>
  </si>
  <si>
    <t xml:space="preserve">Mensalidade média</t>
  </si>
  <si>
    <t xml:space="preserve">Receita recorrente anual (MRR × 12)</t>
  </si>
  <si>
    <t xml:space="preserve">Implantação total (se todos entrarem)</t>
  </si>
  <si>
    <t xml:space="preserve">Total do ano 1</t>
  </si>
  <si>
    <t xml:space="preserve">Simulador — condomínios novos</t>
  </si>
  <si>
    <t xml:space="preserve">Digite o nome e o número de unidades nas células amarelas. O preço aparece na hora.</t>
  </si>
  <si>
    <t xml:space="preserve">Condomínio (prospect)</t>
  </si>
  <si>
    <t xml:space="preserve">Exemplo — Residencial Modelo</t>
  </si>
  <si>
    <t xml:space="preserve">TOTAL DOS PROSPECTS</t>
  </si>
  <si>
    <t xml:space="preserve">Como usar</t>
  </si>
  <si>
    <t xml:space="preserve">As colunas amarelas são as únicas que você preenche: nome do prospect e número de unidades. A linha 7 vem com um exemplo (85 unidades) só para mostrar o formato — apague e use. O total no rodapé soma tudo o que você digitou, útil para projetar quanto vale um pacote de prospects.</t>
  </si>
  <si>
    <t xml:space="preserve">Preço por tamanho de condomínio</t>
  </si>
  <si>
    <t xml:space="preserve">Consulta rápida para a reunião. Recalcula sozinha se você mexer nas zonas da aba Premissas.</t>
  </si>
  <si>
    <t xml:space="preserve">O fundo azul marca 120 unidades: é o ponto mais barato por apartamento (fundo da curva em U). Abaixo dele o valor fixo pesa mais; acima dele entra a faixa Corporativo, com entregas adicionais.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</si>
</sst>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&quot;R$ &quot;#,##0.00"/>
    <numFmt numFmtId="166" formatCode="General"/>
    <numFmt numFmtId="167" formatCode="0"/>
    <numFmt numFmtId="168" formatCode="#,##0.0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0B2A63"/>
      <name val="Arial"/>
      <family val="0"/>
      <charset val="1"/>
    </font>
    <font>
      <i val="true"/>
      <sz val="10"/>
      <color rgb="FF5C6E8C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B2A63"/>
      <name val="Arial"/>
      <family val="0"/>
      <charset val="1"/>
    </font>
    <font>
      <sz val="11"/>
      <name val="Arial"/>
      <family val="0"/>
      <charset val="1"/>
    </font>
    <font>
      <sz val="11"/>
      <color rgb="FF0000FF"/>
      <name val="Arial"/>
      <family val="0"/>
      <charset val="1"/>
    </font>
    <font>
      <sz val="10"/>
      <color rgb="FF5C6E8C"/>
      <name val="Arial"/>
      <family val="0"/>
      <charset val="1"/>
    </font>
    <font>
      <sz val="11"/>
      <color rgb="FF5C6E8C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2"/>
      <color rgb="FF0B2A63"/>
      <name val="Arial"/>
      <family val="0"/>
      <charset val="1"/>
    </font>
    <font>
      <i val="true"/>
      <sz val="9"/>
      <color rgb="FF5C6E8C"/>
      <name val="Arial"/>
      <family val="0"/>
      <charset val="1"/>
    </font>
    <font>
      <sz val="11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0B2A63"/>
        <bgColor rgb="FF333333"/>
      </patternFill>
    </fill>
    <fill>
      <patternFill patternType="solid">
        <fgColor rgb="FFFFFF00"/>
        <bgColor rgb="FFFFFF00"/>
      </patternFill>
    </fill>
    <fill>
      <patternFill patternType="solid">
        <fgColor rgb="FFF2F5FC"/>
        <bgColor rgb="FFE8F0FF"/>
      </patternFill>
    </fill>
    <fill>
      <patternFill patternType="solid">
        <fgColor rgb="FFFFC800"/>
        <bgColor rgb="FFFF9900"/>
      </patternFill>
    </fill>
    <fill>
      <patternFill patternType="solid">
        <fgColor rgb="FF1D4ED8"/>
        <bgColor rgb="FF3366FF"/>
      </patternFill>
    </fill>
    <fill>
      <patternFill patternType="solid">
        <fgColor rgb="FFE8F0FF"/>
        <bgColor rgb="FFF2F5F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6DEEE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7" fillId="5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8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12" fillId="7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2F5FC"/>
      <rgbColor rgb="FFE8F0FF"/>
      <rgbColor rgb="FF660066"/>
      <rgbColor rgb="FFFF8080"/>
      <rgbColor rgb="FF1D4ED8"/>
      <rgbColor rgb="FFD6DE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800"/>
      <rgbColor rgb="FFFF9900"/>
      <rgbColor rgb="FFFF6600"/>
      <rgbColor rgb="FF5C6E8C"/>
      <rgbColor rgb="FF969696"/>
      <rgbColor rgb="FF0B2A63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1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20"/>
    <col collapsed="false" customWidth="true" hidden="false" outlineLevel="0" max="4" min="4" style="0" width="17"/>
    <col collapsed="false" customWidth="true" hidden="false" outlineLevel="0" max="5" min="5" style="0" width="14"/>
    <col collapsed="false" customWidth="true" hidden="false" outlineLevel="0" max="6" min="6" style="0" width="52"/>
  </cols>
  <sheetData>
    <row r="2" customFormat="false" ht="18.55" hidden="false" customHeight="false" outlineLevel="0" collapsed="false">
      <c r="B2" s="1" t="s">
        <v>0</v>
      </c>
    </row>
    <row r="3" customFormat="false" ht="15" hidden="false" customHeight="false" outlineLevel="0" collapsed="false">
      <c r="B3" s="2" t="s">
        <v>1</v>
      </c>
    </row>
    <row r="6" customFormat="false" ht="33.75" hidden="false" customHeight="true" outlineLevel="0" collapsed="false">
      <c r="B6" s="3" t="s">
        <v>2</v>
      </c>
      <c r="C6" s="3" t="s">
        <v>3</v>
      </c>
      <c r="D6" s="3" t="s">
        <v>4</v>
      </c>
      <c r="E6" s="3" t="s">
        <v>5</v>
      </c>
      <c r="F6" s="3" t="s">
        <v>6</v>
      </c>
    </row>
    <row r="7" customFormat="false" ht="30" hidden="false" customHeight="true" outlineLevel="0" collapsed="false">
      <c r="B7" s="4" t="s">
        <v>7</v>
      </c>
      <c r="C7" s="5" t="s">
        <v>8</v>
      </c>
      <c r="D7" s="6" t="n">
        <v>30</v>
      </c>
      <c r="E7" s="7" t="n">
        <v>298</v>
      </c>
      <c r="F7" s="8" t="s">
        <v>9</v>
      </c>
    </row>
    <row r="8" customFormat="false" ht="30" hidden="false" customHeight="true" outlineLevel="0" collapsed="false">
      <c r="B8" s="4" t="s">
        <v>10</v>
      </c>
      <c r="C8" s="5" t="s">
        <v>11</v>
      </c>
      <c r="D8" s="6" t="n">
        <v>60</v>
      </c>
      <c r="E8" s="7" t="n">
        <v>9.9</v>
      </c>
      <c r="F8" s="8" t="s">
        <v>12</v>
      </c>
    </row>
    <row r="9" customFormat="false" ht="30" hidden="false" customHeight="true" outlineLevel="0" collapsed="false">
      <c r="B9" s="4" t="s">
        <v>13</v>
      </c>
      <c r="C9" s="5" t="s">
        <v>14</v>
      </c>
      <c r="D9" s="6" t="n">
        <v>120</v>
      </c>
      <c r="E9" s="7" t="n">
        <v>8.9</v>
      </c>
      <c r="F9" s="8" t="s">
        <v>15</v>
      </c>
    </row>
    <row r="10" customFormat="false" ht="30" hidden="false" customHeight="true" outlineLevel="0" collapsed="false">
      <c r="B10" s="4" t="s">
        <v>16</v>
      </c>
      <c r="C10" s="5" t="s">
        <v>17</v>
      </c>
      <c r="D10" s="9" t="s">
        <v>18</v>
      </c>
      <c r="E10" s="7" t="n">
        <v>11.9</v>
      </c>
      <c r="F10" s="8" t="s">
        <v>19</v>
      </c>
    </row>
    <row r="12" customFormat="false" ht="15" hidden="false" customHeight="false" outlineLevel="0" collapsed="false">
      <c r="B12" s="10" t="s">
        <v>20</v>
      </c>
      <c r="E12" s="11" t="n">
        <v>490</v>
      </c>
    </row>
    <row r="14" customFormat="false" ht="15" hidden="false" customHeight="false" outlineLevel="0" collapsed="false">
      <c r="B14" s="12" t="s">
        <v>21</v>
      </c>
    </row>
    <row r="15" customFormat="false" ht="15" hidden="false" customHeight="true" outlineLevel="0" collapsed="false">
      <c r="B15" s="13" t="s">
        <v>22</v>
      </c>
      <c r="C15" s="13"/>
      <c r="D15" s="13"/>
      <c r="E15" s="13"/>
      <c r="F15" s="13"/>
    </row>
    <row r="16" customFormat="false" ht="15" hidden="false" customHeight="false" outlineLevel="0" collapsed="false">
      <c r="B16" s="13"/>
      <c r="C16" s="13"/>
      <c r="D16" s="13"/>
      <c r="E16" s="13"/>
      <c r="F16" s="13"/>
    </row>
    <row r="17" customFormat="false" ht="15" hidden="false" customHeight="false" outlineLevel="0" collapsed="false">
      <c r="B17" s="13"/>
      <c r="C17" s="13"/>
      <c r="D17" s="13"/>
      <c r="E17" s="13"/>
      <c r="F17" s="13"/>
    </row>
    <row r="19" customFormat="false" ht="15" hidden="false" customHeight="false" outlineLevel="0" collapsed="false">
      <c r="B19" s="14" t="s">
        <v>23</v>
      </c>
    </row>
  </sheetData>
  <mergeCells count="1">
    <mergeCell ref="B15:F1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J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5"/>
    <col collapsed="false" customWidth="true" hidden="false" outlineLevel="0" max="3" min="3" style="0" width="24"/>
    <col collapsed="false" customWidth="true" hidden="false" outlineLevel="0" max="4" min="4" style="0" width="11"/>
    <col collapsed="false" customWidth="true" hidden="false" outlineLevel="0" max="6" min="5" style="0" width="15"/>
    <col collapsed="false" customWidth="true" hidden="false" outlineLevel="0" max="7" min="7" style="0" width="17"/>
    <col collapsed="false" customWidth="true" hidden="false" outlineLevel="0" max="8" min="8" style="0" width="14"/>
    <col collapsed="false" customWidth="true" hidden="false" outlineLevel="0" max="9" min="9" style="0" width="13"/>
    <col collapsed="false" customWidth="true" hidden="false" outlineLevel="0" max="10" min="10" style="0" width="17"/>
  </cols>
  <sheetData>
    <row r="2" customFormat="false" ht="18.55" hidden="false" customHeight="false" outlineLevel="0" collapsed="false">
      <c r="B2" s="1" t="s">
        <v>24</v>
      </c>
    </row>
    <row r="3" customFormat="false" ht="15" hidden="false" customHeight="false" outlineLevel="0" collapsed="false">
      <c r="B3" s="2" t="s">
        <v>25</v>
      </c>
    </row>
    <row r="6" customFormat="false" ht="33.75" hidden="false" customHeight="true" outlineLevel="0" collapsed="false">
      <c r="B6" s="3" t="s">
        <v>26</v>
      </c>
      <c r="C6" s="3" t="s">
        <v>27</v>
      </c>
      <c r="D6" s="3" t="s">
        <v>3</v>
      </c>
      <c r="E6" s="3" t="s">
        <v>2</v>
      </c>
      <c r="F6" s="3" t="s">
        <v>28</v>
      </c>
      <c r="G6" s="3" t="s">
        <v>29</v>
      </c>
      <c r="H6" s="3" t="s">
        <v>30</v>
      </c>
      <c r="I6" s="3" t="s">
        <v>31</v>
      </c>
      <c r="J6" s="3" t="s">
        <v>32</v>
      </c>
    </row>
    <row r="7" customFormat="false" ht="15" hidden="false" customHeight="false" outlineLevel="0" collapsed="false">
      <c r="B7" s="15" t="n">
        <v>1</v>
      </c>
      <c r="C7" s="5" t="s">
        <v>33</v>
      </c>
      <c r="D7" s="6" t="n">
        <v>308</v>
      </c>
      <c r="E7" s="15" t="str">
        <f aca="false">IF(D7&lt;=Premissas!$D$7,Premissas!$B$7,IF(D7&lt;=Premissas!$D$8,Premissas!$B$8,IF(D7&lt;=Premissas!$D$9,Premissas!$B$9,Premissas!$B$10)))</f>
        <v>Corporativo</v>
      </c>
      <c r="F7" s="16" t="n">
        <f aca="false">Premissas!$E$7+MAX(0,MIN(D7,Premissas!$D$8)-Premissas!$D$7)*Premissas!$E$8+MAX(0,MIN(D7,Premissas!$D$9)-Premissas!$D$8)*Premissas!$E$9+MAX(0,D7-Premissas!$D$9)*Premissas!$E$10</f>
        <v>3366.2</v>
      </c>
      <c r="G7" s="16" t="n">
        <f aca="false">F7/D7</f>
        <v>10.9292207792208</v>
      </c>
      <c r="H7" s="16" t="n">
        <f aca="false">Premissas!$E$12</f>
        <v>490</v>
      </c>
      <c r="I7" s="16" t="n">
        <f aca="false">F7+H7</f>
        <v>3856.2</v>
      </c>
      <c r="J7" s="16" t="n">
        <f aca="false">F7*12</f>
        <v>40394.4</v>
      </c>
    </row>
    <row r="8" customFormat="false" ht="15" hidden="false" customHeight="false" outlineLevel="0" collapsed="false">
      <c r="B8" s="17" t="n">
        <v>2</v>
      </c>
      <c r="C8" s="18" t="s">
        <v>34</v>
      </c>
      <c r="D8" s="6" t="n">
        <v>200</v>
      </c>
      <c r="E8" s="17" t="str">
        <f aca="false">IF(D8&lt;=Premissas!$D$7,Premissas!$B$7,IF(D8&lt;=Premissas!$D$8,Premissas!$B$8,IF(D8&lt;=Premissas!$D$9,Premissas!$B$9,Premissas!$B$10)))</f>
        <v>Corporativo</v>
      </c>
      <c r="F8" s="19" t="n">
        <f aca="false">Premissas!$E$7+MAX(0,MIN(D8,Premissas!$D$8)-Premissas!$D$7)*Premissas!$E$8+MAX(0,MIN(D8,Premissas!$D$9)-Premissas!$D$8)*Premissas!$E$9+MAX(0,D8-Premissas!$D$9)*Premissas!$E$10</f>
        <v>2081</v>
      </c>
      <c r="G8" s="19" t="n">
        <f aca="false">F8/D8</f>
        <v>10.405</v>
      </c>
      <c r="H8" s="19" t="n">
        <f aca="false">Premissas!$E$12</f>
        <v>490</v>
      </c>
      <c r="I8" s="19" t="n">
        <f aca="false">F8+H8</f>
        <v>2571</v>
      </c>
      <c r="J8" s="19" t="n">
        <f aca="false">F8*12</f>
        <v>24972</v>
      </c>
    </row>
    <row r="9" customFormat="false" ht="15" hidden="false" customHeight="false" outlineLevel="0" collapsed="false">
      <c r="B9" s="15" t="n">
        <v>3</v>
      </c>
      <c r="C9" s="5" t="s">
        <v>35</v>
      </c>
      <c r="D9" s="6" t="n">
        <v>160</v>
      </c>
      <c r="E9" s="15" t="str">
        <f aca="false">IF(D9&lt;=Premissas!$D$7,Premissas!$B$7,IF(D9&lt;=Premissas!$D$8,Premissas!$B$8,IF(D9&lt;=Premissas!$D$9,Premissas!$B$9,Premissas!$B$10)))</f>
        <v>Corporativo</v>
      </c>
      <c r="F9" s="16" t="n">
        <f aca="false">Premissas!$E$7+MAX(0,MIN(D9,Premissas!$D$8)-Premissas!$D$7)*Premissas!$E$8+MAX(0,MIN(D9,Premissas!$D$9)-Premissas!$D$8)*Premissas!$E$9+MAX(0,D9-Premissas!$D$9)*Premissas!$E$10</f>
        <v>1605</v>
      </c>
      <c r="G9" s="16" t="n">
        <f aca="false">F9/D9</f>
        <v>10.03125</v>
      </c>
      <c r="H9" s="16" t="n">
        <f aca="false">Premissas!$E$12</f>
        <v>490</v>
      </c>
      <c r="I9" s="16" t="n">
        <f aca="false">F9+H9</f>
        <v>2095</v>
      </c>
      <c r="J9" s="16" t="n">
        <f aca="false">F9*12</f>
        <v>19260</v>
      </c>
    </row>
    <row r="10" customFormat="false" ht="15" hidden="false" customHeight="false" outlineLevel="0" collapsed="false">
      <c r="B10" s="17" t="n">
        <v>4</v>
      </c>
      <c r="C10" s="18" t="s">
        <v>36</v>
      </c>
      <c r="D10" s="6" t="n">
        <v>120</v>
      </c>
      <c r="E10" s="17" t="str">
        <f aca="false">IF(D10&lt;=Premissas!$D$7,Premissas!$B$7,IF(D10&lt;=Premissas!$D$8,Premissas!$B$8,IF(D10&lt;=Premissas!$D$9,Premissas!$B$9,Premissas!$B$10)))</f>
        <v>Plus</v>
      </c>
      <c r="F10" s="19" t="n">
        <f aca="false">Premissas!$E$7+MAX(0,MIN(D10,Premissas!$D$8)-Premissas!$D$7)*Premissas!$E$8+MAX(0,MIN(D10,Premissas!$D$9)-Premissas!$D$8)*Premissas!$E$9+MAX(0,D10-Premissas!$D$9)*Premissas!$E$10</f>
        <v>1129</v>
      </c>
      <c r="G10" s="19" t="n">
        <f aca="false">F10/D10</f>
        <v>9.40833333333333</v>
      </c>
      <c r="H10" s="19" t="n">
        <f aca="false">Premissas!$E$12</f>
        <v>490</v>
      </c>
      <c r="I10" s="19" t="n">
        <f aca="false">F10+H10</f>
        <v>1619</v>
      </c>
      <c r="J10" s="19" t="n">
        <f aca="false">F10*12</f>
        <v>13548</v>
      </c>
    </row>
    <row r="11" customFormat="false" ht="15" hidden="false" customHeight="false" outlineLevel="0" collapsed="false">
      <c r="B11" s="15" t="n">
        <v>5</v>
      </c>
      <c r="C11" s="5" t="s">
        <v>37</v>
      </c>
      <c r="D11" s="6" t="n">
        <v>112</v>
      </c>
      <c r="E11" s="15" t="str">
        <f aca="false">IF(D11&lt;=Premissas!$D$7,Premissas!$B$7,IF(D11&lt;=Premissas!$D$8,Premissas!$B$8,IF(D11&lt;=Premissas!$D$9,Premissas!$B$9,Premissas!$B$10)))</f>
        <v>Plus</v>
      </c>
      <c r="F11" s="16" t="n">
        <f aca="false">Premissas!$E$7+MAX(0,MIN(D11,Premissas!$D$8)-Premissas!$D$7)*Premissas!$E$8+MAX(0,MIN(D11,Premissas!$D$9)-Premissas!$D$8)*Premissas!$E$9+MAX(0,D11-Premissas!$D$9)*Premissas!$E$10</f>
        <v>1057.8</v>
      </c>
      <c r="G11" s="16" t="n">
        <f aca="false">F11/D11</f>
        <v>9.44464285714286</v>
      </c>
      <c r="H11" s="16" t="n">
        <f aca="false">Premissas!$E$12</f>
        <v>490</v>
      </c>
      <c r="I11" s="16" t="n">
        <f aca="false">F11+H11</f>
        <v>1547.8</v>
      </c>
      <c r="J11" s="16" t="n">
        <f aca="false">F11*12</f>
        <v>12693.6</v>
      </c>
    </row>
    <row r="12" customFormat="false" ht="15" hidden="false" customHeight="false" outlineLevel="0" collapsed="false">
      <c r="B12" s="17" t="n">
        <v>6</v>
      </c>
      <c r="C12" s="18" t="s">
        <v>38</v>
      </c>
      <c r="D12" s="6" t="n">
        <v>64</v>
      </c>
      <c r="E12" s="17" t="str">
        <f aca="false">IF(D12&lt;=Premissas!$D$7,Premissas!$B$7,IF(D12&lt;=Premissas!$D$8,Premissas!$B$8,IF(D12&lt;=Premissas!$D$9,Premissas!$B$9,Premissas!$B$10)))</f>
        <v>Plus</v>
      </c>
      <c r="F12" s="19" t="n">
        <f aca="false">Premissas!$E$7+MAX(0,MIN(D12,Premissas!$D$8)-Premissas!$D$7)*Premissas!$E$8+MAX(0,MIN(D12,Premissas!$D$9)-Premissas!$D$8)*Premissas!$E$9+MAX(0,D12-Premissas!$D$9)*Premissas!$E$10</f>
        <v>630.6</v>
      </c>
      <c r="G12" s="19" t="n">
        <f aca="false">F12/D12</f>
        <v>9.853125</v>
      </c>
      <c r="H12" s="19" t="n">
        <f aca="false">Premissas!$E$12</f>
        <v>490</v>
      </c>
      <c r="I12" s="19" t="n">
        <f aca="false">F12+H12</f>
        <v>1120.6</v>
      </c>
      <c r="J12" s="19" t="n">
        <f aca="false">F12*12</f>
        <v>7567.2</v>
      </c>
    </row>
    <row r="13" customFormat="false" ht="15" hidden="false" customHeight="false" outlineLevel="0" collapsed="false">
      <c r="B13" s="15" t="n">
        <v>7</v>
      </c>
      <c r="C13" s="5" t="s">
        <v>39</v>
      </c>
      <c r="D13" s="6" t="n">
        <v>24</v>
      </c>
      <c r="E13" s="15" t="str">
        <f aca="false">IF(D13&lt;=Premissas!$D$7,Premissas!$B$7,IF(D13&lt;=Premissas!$D$8,Premissas!$B$8,IF(D13&lt;=Premissas!$D$9,Premissas!$B$9,Premissas!$B$10)))</f>
        <v>Compacto</v>
      </c>
      <c r="F13" s="16" t="n">
        <f aca="false">Premissas!$E$7+MAX(0,MIN(D13,Premissas!$D$8)-Premissas!$D$7)*Premissas!$E$8+MAX(0,MIN(D13,Premissas!$D$9)-Premissas!$D$8)*Premissas!$E$9+MAX(0,D13-Premissas!$D$9)*Premissas!$E$10</f>
        <v>298</v>
      </c>
      <c r="G13" s="16" t="n">
        <f aca="false">F13/D13</f>
        <v>12.4166666666667</v>
      </c>
      <c r="H13" s="16" t="n">
        <f aca="false">Premissas!$E$12</f>
        <v>490</v>
      </c>
      <c r="I13" s="16" t="n">
        <f aca="false">F13+H13</f>
        <v>788</v>
      </c>
      <c r="J13" s="16" t="n">
        <f aca="false">F13*12</f>
        <v>3576</v>
      </c>
    </row>
    <row r="14" customFormat="false" ht="15" hidden="false" customHeight="false" outlineLevel="0" collapsed="false">
      <c r="B14" s="17" t="n">
        <v>8</v>
      </c>
      <c r="C14" s="18" t="s">
        <v>40</v>
      </c>
      <c r="D14" s="6" t="n">
        <v>24</v>
      </c>
      <c r="E14" s="17" t="str">
        <f aca="false">IF(D14&lt;=Premissas!$D$7,Premissas!$B$7,IF(D14&lt;=Premissas!$D$8,Premissas!$B$8,IF(D14&lt;=Premissas!$D$9,Premissas!$B$9,Premissas!$B$10)))</f>
        <v>Compacto</v>
      </c>
      <c r="F14" s="19" t="n">
        <f aca="false">Premissas!$E$7+MAX(0,MIN(D14,Premissas!$D$8)-Premissas!$D$7)*Premissas!$E$8+MAX(0,MIN(D14,Premissas!$D$9)-Premissas!$D$8)*Premissas!$E$9+MAX(0,D14-Premissas!$D$9)*Premissas!$E$10</f>
        <v>298</v>
      </c>
      <c r="G14" s="19" t="n">
        <f aca="false">F14/D14</f>
        <v>12.4166666666667</v>
      </c>
      <c r="H14" s="19" t="n">
        <f aca="false">Premissas!$E$12</f>
        <v>490</v>
      </c>
      <c r="I14" s="19" t="n">
        <f aca="false">F14+H14</f>
        <v>788</v>
      </c>
      <c r="J14" s="19" t="n">
        <f aca="false">F14*12</f>
        <v>3576</v>
      </c>
    </row>
    <row r="15" customFormat="false" ht="15" hidden="false" customHeight="false" outlineLevel="0" collapsed="false">
      <c r="B15" s="15" t="n">
        <v>9</v>
      </c>
      <c r="C15" s="5" t="s">
        <v>41</v>
      </c>
      <c r="D15" s="6" t="n">
        <v>24</v>
      </c>
      <c r="E15" s="15" t="str">
        <f aca="false">IF(D15&lt;=Premissas!$D$7,Premissas!$B$7,IF(D15&lt;=Premissas!$D$8,Premissas!$B$8,IF(D15&lt;=Premissas!$D$9,Premissas!$B$9,Premissas!$B$10)))</f>
        <v>Compacto</v>
      </c>
      <c r="F15" s="16" t="n">
        <f aca="false">Premissas!$E$7+MAX(0,MIN(D15,Premissas!$D$8)-Premissas!$D$7)*Premissas!$E$8+MAX(0,MIN(D15,Premissas!$D$9)-Premissas!$D$8)*Premissas!$E$9+MAX(0,D15-Premissas!$D$9)*Premissas!$E$10</f>
        <v>298</v>
      </c>
      <c r="G15" s="16" t="n">
        <f aca="false">F15/D15</f>
        <v>12.4166666666667</v>
      </c>
      <c r="H15" s="16" t="n">
        <f aca="false">Premissas!$E$12</f>
        <v>490</v>
      </c>
      <c r="I15" s="16" t="n">
        <f aca="false">F15+H15</f>
        <v>788</v>
      </c>
      <c r="J15" s="16" t="n">
        <f aca="false">F15*12</f>
        <v>3576</v>
      </c>
    </row>
    <row r="16" customFormat="false" ht="15" hidden="false" customHeight="false" outlineLevel="0" collapsed="false">
      <c r="B16" s="17" t="n">
        <v>10</v>
      </c>
      <c r="C16" s="18" t="s">
        <v>42</v>
      </c>
      <c r="D16" s="6" t="n">
        <v>22</v>
      </c>
      <c r="E16" s="17" t="str">
        <f aca="false">IF(D16&lt;=Premissas!$D$7,Premissas!$B$7,IF(D16&lt;=Premissas!$D$8,Premissas!$B$8,IF(D16&lt;=Premissas!$D$9,Premissas!$B$9,Premissas!$B$10)))</f>
        <v>Compacto</v>
      </c>
      <c r="F16" s="19" t="n">
        <f aca="false">Premissas!$E$7+MAX(0,MIN(D16,Premissas!$D$8)-Premissas!$D$7)*Premissas!$E$8+MAX(0,MIN(D16,Premissas!$D$9)-Premissas!$D$8)*Premissas!$E$9+MAX(0,D16-Premissas!$D$9)*Premissas!$E$10</f>
        <v>298</v>
      </c>
      <c r="G16" s="19" t="n">
        <f aca="false">F16/D16</f>
        <v>13.5454545454545</v>
      </c>
      <c r="H16" s="19" t="n">
        <f aca="false">Premissas!$E$12</f>
        <v>490</v>
      </c>
      <c r="I16" s="19" t="n">
        <f aca="false">F16+H16</f>
        <v>788</v>
      </c>
      <c r="J16" s="19" t="n">
        <f aca="false">F16*12</f>
        <v>3576</v>
      </c>
    </row>
    <row r="17" customFormat="false" ht="15" hidden="false" customHeight="false" outlineLevel="0" collapsed="false">
      <c r="B17" s="15" t="n">
        <v>11</v>
      </c>
      <c r="C17" s="5" t="s">
        <v>43</v>
      </c>
      <c r="D17" s="6" t="n">
        <v>20</v>
      </c>
      <c r="E17" s="15" t="str">
        <f aca="false">IF(D17&lt;=Premissas!$D$7,Premissas!$B$7,IF(D17&lt;=Premissas!$D$8,Premissas!$B$8,IF(D17&lt;=Premissas!$D$9,Premissas!$B$9,Premissas!$B$10)))</f>
        <v>Compacto</v>
      </c>
      <c r="F17" s="16" t="n">
        <f aca="false">Premissas!$E$7+MAX(0,MIN(D17,Premissas!$D$8)-Premissas!$D$7)*Premissas!$E$8+MAX(0,MIN(D17,Premissas!$D$9)-Premissas!$D$8)*Premissas!$E$9+MAX(0,D17-Premissas!$D$9)*Premissas!$E$10</f>
        <v>298</v>
      </c>
      <c r="G17" s="16" t="n">
        <f aca="false">F17/D17</f>
        <v>14.9</v>
      </c>
      <c r="H17" s="16" t="n">
        <f aca="false">Premissas!$E$12</f>
        <v>490</v>
      </c>
      <c r="I17" s="16" t="n">
        <f aca="false">F17+H17</f>
        <v>788</v>
      </c>
      <c r="J17" s="16" t="n">
        <f aca="false">F17*12</f>
        <v>3576</v>
      </c>
    </row>
    <row r="18" customFormat="false" ht="15" hidden="false" customHeight="false" outlineLevel="0" collapsed="false">
      <c r="B18" s="17" t="n">
        <v>12</v>
      </c>
      <c r="C18" s="18" t="s">
        <v>44</v>
      </c>
      <c r="D18" s="6" t="n">
        <v>20</v>
      </c>
      <c r="E18" s="17" t="str">
        <f aca="false">IF(D18&lt;=Premissas!$D$7,Premissas!$B$7,IF(D18&lt;=Premissas!$D$8,Premissas!$B$8,IF(D18&lt;=Premissas!$D$9,Premissas!$B$9,Premissas!$B$10)))</f>
        <v>Compacto</v>
      </c>
      <c r="F18" s="19" t="n">
        <f aca="false">Premissas!$E$7+MAX(0,MIN(D18,Premissas!$D$8)-Premissas!$D$7)*Premissas!$E$8+MAX(0,MIN(D18,Premissas!$D$9)-Premissas!$D$8)*Premissas!$E$9+MAX(0,D18-Premissas!$D$9)*Premissas!$E$10</f>
        <v>298</v>
      </c>
      <c r="G18" s="19" t="n">
        <f aca="false">F18/D18</f>
        <v>14.9</v>
      </c>
      <c r="H18" s="19" t="n">
        <f aca="false">Premissas!$E$12</f>
        <v>490</v>
      </c>
      <c r="I18" s="19" t="n">
        <f aca="false">F18+H18</f>
        <v>788</v>
      </c>
      <c r="J18" s="19" t="n">
        <f aca="false">F18*12</f>
        <v>3576</v>
      </c>
    </row>
    <row r="19" customFormat="false" ht="15" hidden="false" customHeight="false" outlineLevel="0" collapsed="false">
      <c r="B19" s="15" t="n">
        <v>13</v>
      </c>
      <c r="C19" s="5" t="s">
        <v>45</v>
      </c>
      <c r="D19" s="6" t="n">
        <v>16</v>
      </c>
      <c r="E19" s="15" t="str">
        <f aca="false">IF(D19&lt;=Premissas!$D$7,Premissas!$B$7,IF(D19&lt;=Premissas!$D$8,Premissas!$B$8,IF(D19&lt;=Premissas!$D$9,Premissas!$B$9,Premissas!$B$10)))</f>
        <v>Compacto</v>
      </c>
      <c r="F19" s="16" t="n">
        <f aca="false">Premissas!$E$7+MAX(0,MIN(D19,Premissas!$D$8)-Premissas!$D$7)*Premissas!$E$8+MAX(0,MIN(D19,Premissas!$D$9)-Premissas!$D$8)*Premissas!$E$9+MAX(0,D19-Premissas!$D$9)*Premissas!$E$10</f>
        <v>298</v>
      </c>
      <c r="G19" s="16" t="n">
        <f aca="false">F19/D19</f>
        <v>18.625</v>
      </c>
      <c r="H19" s="16" t="n">
        <f aca="false">Premissas!$E$12</f>
        <v>490</v>
      </c>
      <c r="I19" s="16" t="n">
        <f aca="false">F19+H19</f>
        <v>788</v>
      </c>
      <c r="J19" s="16" t="n">
        <f aca="false">F19*12</f>
        <v>3576</v>
      </c>
    </row>
    <row r="20" customFormat="false" ht="15" hidden="false" customHeight="false" outlineLevel="0" collapsed="false">
      <c r="B20" s="17" t="n">
        <v>14</v>
      </c>
      <c r="C20" s="18" t="s">
        <v>46</v>
      </c>
      <c r="D20" s="6" t="n">
        <v>15</v>
      </c>
      <c r="E20" s="17" t="str">
        <f aca="false">IF(D20&lt;=Premissas!$D$7,Premissas!$B$7,IF(D20&lt;=Premissas!$D$8,Premissas!$B$8,IF(D20&lt;=Premissas!$D$9,Premissas!$B$9,Premissas!$B$10)))</f>
        <v>Compacto</v>
      </c>
      <c r="F20" s="19" t="n">
        <f aca="false">Premissas!$E$7+MAX(0,MIN(D20,Premissas!$D$8)-Premissas!$D$7)*Premissas!$E$8+MAX(0,MIN(D20,Premissas!$D$9)-Premissas!$D$8)*Premissas!$E$9+MAX(0,D20-Premissas!$D$9)*Premissas!$E$10</f>
        <v>298</v>
      </c>
      <c r="G20" s="19" t="n">
        <f aca="false">F20/D20</f>
        <v>19.8666666666667</v>
      </c>
      <c r="H20" s="19" t="n">
        <f aca="false">Premissas!$E$12</f>
        <v>490</v>
      </c>
      <c r="I20" s="19" t="n">
        <f aca="false">F20+H20</f>
        <v>788</v>
      </c>
      <c r="J20" s="19" t="n">
        <f aca="false">F20*12</f>
        <v>3576</v>
      </c>
    </row>
    <row r="21" customFormat="false" ht="15" hidden="false" customHeight="false" outlineLevel="0" collapsed="false">
      <c r="B21" s="15" t="n">
        <v>15</v>
      </c>
      <c r="C21" s="5" t="s">
        <v>47</v>
      </c>
      <c r="D21" s="6" t="n">
        <v>12</v>
      </c>
      <c r="E21" s="15" t="str">
        <f aca="false">IF(D21&lt;=Premissas!$D$7,Premissas!$B$7,IF(D21&lt;=Premissas!$D$8,Premissas!$B$8,IF(D21&lt;=Premissas!$D$9,Premissas!$B$9,Premissas!$B$10)))</f>
        <v>Compacto</v>
      </c>
      <c r="F21" s="16" t="n">
        <f aca="false">Premissas!$E$7+MAX(0,MIN(D21,Premissas!$D$8)-Premissas!$D$7)*Premissas!$E$8+MAX(0,MIN(D21,Premissas!$D$9)-Premissas!$D$8)*Premissas!$E$9+MAX(0,D21-Premissas!$D$9)*Premissas!$E$10</f>
        <v>298</v>
      </c>
      <c r="G21" s="16" t="n">
        <f aca="false">F21/D21</f>
        <v>24.8333333333333</v>
      </c>
      <c r="H21" s="16" t="n">
        <f aca="false">Premissas!$E$12</f>
        <v>490</v>
      </c>
      <c r="I21" s="16" t="n">
        <f aca="false">F21+H21</f>
        <v>788</v>
      </c>
      <c r="J21" s="16" t="n">
        <f aca="false">F21*12</f>
        <v>3576</v>
      </c>
    </row>
    <row r="22" customFormat="false" ht="15" hidden="false" customHeight="false" outlineLevel="0" collapsed="false">
      <c r="B22" s="20"/>
      <c r="C22" s="20" t="s">
        <v>48</v>
      </c>
      <c r="D22" s="21" t="n">
        <f aca="false">SUM(D7:D21)</f>
        <v>1141</v>
      </c>
      <c r="E22" s="20"/>
      <c r="F22" s="22" t="n">
        <f aca="false">SUM(F7:F21)</f>
        <v>12551.6</v>
      </c>
      <c r="G22" s="22" t="n">
        <f aca="false">F22/D22</f>
        <v>11.0005258545136</v>
      </c>
      <c r="H22" s="22" t="n">
        <f aca="false">SUM(H7:H21)</f>
        <v>7350</v>
      </c>
      <c r="I22" s="22" t="n">
        <f aca="false">SUM(I7:I21)</f>
        <v>19901.6</v>
      </c>
      <c r="J22" s="22" t="n">
        <f aca="false">SUM(J7:J21)</f>
        <v>150619.2</v>
      </c>
    </row>
    <row r="24" customFormat="false" ht="15" hidden="false" customHeight="false" outlineLevel="0" collapsed="false">
      <c r="C24" s="23" t="s">
        <v>49</v>
      </c>
      <c r="F24" s="24" t="n">
        <f aca="false">COUNT(D7:D21)</f>
        <v>15</v>
      </c>
    </row>
    <row r="25" customFormat="false" ht="15" hidden="false" customHeight="false" outlineLevel="0" collapsed="false">
      <c r="C25" s="23" t="s">
        <v>50</v>
      </c>
      <c r="F25" s="25" t="n">
        <f aca="false">D22/COUNT(D7:D21)</f>
        <v>76.0666666666667</v>
      </c>
    </row>
    <row r="26" customFormat="false" ht="15" hidden="false" customHeight="false" outlineLevel="0" collapsed="false">
      <c r="C26" s="23" t="s">
        <v>51</v>
      </c>
      <c r="F26" s="26" t="n">
        <f aca="false">F22/COUNT(D7:D21)</f>
        <v>836.773333333333</v>
      </c>
    </row>
    <row r="27" customFormat="false" ht="15" hidden="false" customHeight="false" outlineLevel="0" collapsed="false">
      <c r="C27" s="23" t="s">
        <v>52</v>
      </c>
      <c r="F27" s="27" t="n">
        <f aca="false">F22*12</f>
        <v>150619.2</v>
      </c>
    </row>
    <row r="28" customFormat="false" ht="15" hidden="false" customHeight="false" outlineLevel="0" collapsed="false">
      <c r="C28" s="23" t="s">
        <v>53</v>
      </c>
      <c r="F28" s="27" t="n">
        <f aca="false">H22</f>
        <v>7350</v>
      </c>
    </row>
    <row r="29" customFormat="false" ht="15" hidden="false" customHeight="false" outlineLevel="0" collapsed="false">
      <c r="C29" s="23" t="s">
        <v>54</v>
      </c>
      <c r="F29" s="27" t="n">
        <f aca="false">F22*12+H22</f>
        <v>157969.2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I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1"/>
    <col collapsed="false" customWidth="true" hidden="false" outlineLevel="0" max="5" min="4" style="0" width="15"/>
    <col collapsed="false" customWidth="true" hidden="false" outlineLevel="0" max="6" min="6" style="0" width="17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7"/>
  </cols>
  <sheetData>
    <row r="2" customFormat="false" ht="18.55" hidden="false" customHeight="false" outlineLevel="0" collapsed="false">
      <c r="B2" s="1" t="s">
        <v>55</v>
      </c>
    </row>
    <row r="3" customFormat="false" ht="15" hidden="false" customHeight="false" outlineLevel="0" collapsed="false">
      <c r="B3" s="2" t="s">
        <v>56</v>
      </c>
    </row>
    <row r="6" customFormat="false" ht="33.75" hidden="false" customHeight="true" outlineLevel="0" collapsed="false">
      <c r="B6" s="3" t="s">
        <v>57</v>
      </c>
      <c r="C6" s="3" t="s">
        <v>3</v>
      </c>
      <c r="D6" s="28" t="s">
        <v>2</v>
      </c>
      <c r="E6" s="28" t="s">
        <v>28</v>
      </c>
      <c r="F6" s="28" t="s">
        <v>29</v>
      </c>
      <c r="G6" s="3" t="s">
        <v>30</v>
      </c>
      <c r="H6" s="3" t="s">
        <v>31</v>
      </c>
      <c r="I6" s="3" t="s">
        <v>32</v>
      </c>
    </row>
    <row r="7" customFormat="false" ht="15" hidden="false" customHeight="false" outlineLevel="0" collapsed="false">
      <c r="B7" s="29" t="s">
        <v>58</v>
      </c>
      <c r="C7" s="6" t="n">
        <v>85</v>
      </c>
      <c r="D7" s="15" t="str">
        <f aca="false">IF(C7="","",IF(C7&lt;=Premissas!$D$7,Premissas!$B$7,IF(C7&lt;=Premissas!$D$8,Premissas!$B$8,IF(C7&lt;=Premissas!$D$9,Premissas!$B$9,Premissas!$B$10))))</f>
        <v>Plus</v>
      </c>
      <c r="E7" s="16" t="n">
        <f aca="false">IF(C7="","",Premissas!$E$7+MAX(0,MIN(C7,Premissas!$D$8)-Premissas!$D$7)*Premissas!$E$8+MAX(0,MIN(C7,Premissas!$D$9)-Premissas!$D$8)*Premissas!$E$9+MAX(0,C7-Premissas!$D$9)*Premissas!$E$10)</f>
        <v>817.5</v>
      </c>
      <c r="F7" s="16" t="n">
        <f aca="false">IF(C7="","",E7/C7)</f>
        <v>9.61764705882353</v>
      </c>
      <c r="G7" s="16" t="n">
        <f aca="false">IF(C7="","",Premissas!$E$12)</f>
        <v>490</v>
      </c>
      <c r="H7" s="16" t="n">
        <f aca="false">IF(C7="","",E7+G7)</f>
        <v>1307.5</v>
      </c>
      <c r="I7" s="16" t="n">
        <f aca="false">IF(C7="","",E7*12)</f>
        <v>9810</v>
      </c>
    </row>
    <row r="8" customFormat="false" ht="15" hidden="false" customHeight="false" outlineLevel="0" collapsed="false">
      <c r="B8" s="29"/>
      <c r="C8" s="6"/>
      <c r="D8" s="15" t="str">
        <f aca="false">IF(C8="","",IF(C8&lt;=Premissas!$D$7,Premissas!$B$7,IF(C8&lt;=Premissas!$D$8,Premissas!$B$8,IF(C8&lt;=Premissas!$D$9,Premissas!$B$9,Premissas!$B$10))))</f>
        <v/>
      </c>
      <c r="E8" s="16" t="str">
        <f aca="false">IF(C8="","",Premissas!$E$7+MAX(0,MIN(C8,Premissas!$D$8)-Premissas!$D$7)*Premissas!$E$8+MAX(0,MIN(C8,Premissas!$D$9)-Premissas!$D$8)*Premissas!$E$9+MAX(0,C8-Premissas!$D$9)*Premissas!$E$10)</f>
        <v/>
      </c>
      <c r="F8" s="16" t="str">
        <f aca="false">IF(C8="","",E8/C8)</f>
        <v/>
      </c>
      <c r="G8" s="16" t="str">
        <f aca="false">IF(C8="","",Premissas!$E$12)</f>
        <v/>
      </c>
      <c r="H8" s="16" t="str">
        <f aca="false">IF(C8="","",E8+G8)</f>
        <v/>
      </c>
      <c r="I8" s="16" t="str">
        <f aca="false">IF(C8="","",E8*12)</f>
        <v/>
      </c>
    </row>
    <row r="9" customFormat="false" ht="15" hidden="false" customHeight="false" outlineLevel="0" collapsed="false">
      <c r="B9" s="29"/>
      <c r="C9" s="6"/>
      <c r="D9" s="15" t="str">
        <f aca="false">IF(C9="","",IF(C9&lt;=Premissas!$D$7,Premissas!$B$7,IF(C9&lt;=Premissas!$D$8,Premissas!$B$8,IF(C9&lt;=Premissas!$D$9,Premissas!$B$9,Premissas!$B$10))))</f>
        <v/>
      </c>
      <c r="E9" s="16" t="str">
        <f aca="false">IF(C9="","",Premissas!$E$7+MAX(0,MIN(C9,Premissas!$D$8)-Premissas!$D$7)*Premissas!$E$8+MAX(0,MIN(C9,Premissas!$D$9)-Premissas!$D$8)*Premissas!$E$9+MAX(0,C9-Premissas!$D$9)*Premissas!$E$10)</f>
        <v/>
      </c>
      <c r="F9" s="16" t="str">
        <f aca="false">IF(C9="","",E9/C9)</f>
        <v/>
      </c>
      <c r="G9" s="16" t="str">
        <f aca="false">IF(C9="","",Premissas!$E$12)</f>
        <v/>
      </c>
      <c r="H9" s="16" t="str">
        <f aca="false">IF(C9="","",E9+G9)</f>
        <v/>
      </c>
      <c r="I9" s="16" t="str">
        <f aca="false">IF(C9="","",E9*12)</f>
        <v/>
      </c>
    </row>
    <row r="10" customFormat="false" ht="15" hidden="false" customHeight="false" outlineLevel="0" collapsed="false">
      <c r="B10" s="29"/>
      <c r="C10" s="6"/>
      <c r="D10" s="15" t="str">
        <f aca="false">IF(C10="","",IF(C10&lt;=Premissas!$D$7,Premissas!$B$7,IF(C10&lt;=Premissas!$D$8,Premissas!$B$8,IF(C10&lt;=Premissas!$D$9,Premissas!$B$9,Premissas!$B$10))))</f>
        <v/>
      </c>
      <c r="E10" s="16" t="str">
        <f aca="false">IF(C10="","",Premissas!$E$7+MAX(0,MIN(C10,Premissas!$D$8)-Premissas!$D$7)*Premissas!$E$8+MAX(0,MIN(C10,Premissas!$D$9)-Premissas!$D$8)*Premissas!$E$9+MAX(0,C10-Premissas!$D$9)*Premissas!$E$10)</f>
        <v/>
      </c>
      <c r="F10" s="16" t="str">
        <f aca="false">IF(C10="","",E10/C10)</f>
        <v/>
      </c>
      <c r="G10" s="16" t="str">
        <f aca="false">IF(C10="","",Premissas!$E$12)</f>
        <v/>
      </c>
      <c r="H10" s="16" t="str">
        <f aca="false">IF(C10="","",E10+G10)</f>
        <v/>
      </c>
      <c r="I10" s="16" t="str">
        <f aca="false">IF(C10="","",E10*12)</f>
        <v/>
      </c>
    </row>
    <row r="11" customFormat="false" ht="15" hidden="false" customHeight="false" outlineLevel="0" collapsed="false">
      <c r="B11" s="29"/>
      <c r="C11" s="6"/>
      <c r="D11" s="15" t="str">
        <f aca="false">IF(C11="","",IF(C11&lt;=Premissas!$D$7,Premissas!$B$7,IF(C11&lt;=Premissas!$D$8,Premissas!$B$8,IF(C11&lt;=Premissas!$D$9,Premissas!$B$9,Premissas!$B$10))))</f>
        <v/>
      </c>
      <c r="E11" s="16" t="str">
        <f aca="false">IF(C11="","",Premissas!$E$7+MAX(0,MIN(C11,Premissas!$D$8)-Premissas!$D$7)*Premissas!$E$8+MAX(0,MIN(C11,Premissas!$D$9)-Premissas!$D$8)*Premissas!$E$9+MAX(0,C11-Premissas!$D$9)*Premissas!$E$10)</f>
        <v/>
      </c>
      <c r="F11" s="16" t="str">
        <f aca="false">IF(C11="","",E11/C11)</f>
        <v/>
      </c>
      <c r="G11" s="16" t="str">
        <f aca="false">IF(C11="","",Premissas!$E$12)</f>
        <v/>
      </c>
      <c r="H11" s="16" t="str">
        <f aca="false">IF(C11="","",E11+G11)</f>
        <v/>
      </c>
      <c r="I11" s="16" t="str">
        <f aca="false">IF(C11="","",E11*12)</f>
        <v/>
      </c>
    </row>
    <row r="12" customFormat="false" ht="15" hidden="false" customHeight="false" outlineLevel="0" collapsed="false">
      <c r="B12" s="29"/>
      <c r="C12" s="6"/>
      <c r="D12" s="15" t="str">
        <f aca="false">IF(C12="","",IF(C12&lt;=Premissas!$D$7,Premissas!$B$7,IF(C12&lt;=Premissas!$D$8,Premissas!$B$8,IF(C12&lt;=Premissas!$D$9,Premissas!$B$9,Premissas!$B$10))))</f>
        <v/>
      </c>
      <c r="E12" s="16" t="str">
        <f aca="false">IF(C12="","",Premissas!$E$7+MAX(0,MIN(C12,Premissas!$D$8)-Premissas!$D$7)*Premissas!$E$8+MAX(0,MIN(C12,Premissas!$D$9)-Premissas!$D$8)*Premissas!$E$9+MAX(0,C12-Premissas!$D$9)*Premissas!$E$10)</f>
        <v/>
      </c>
      <c r="F12" s="16" t="str">
        <f aca="false">IF(C12="","",E12/C12)</f>
        <v/>
      </c>
      <c r="G12" s="16" t="str">
        <f aca="false">IF(C12="","",Premissas!$E$12)</f>
        <v/>
      </c>
      <c r="H12" s="16" t="str">
        <f aca="false">IF(C12="","",E12+G12)</f>
        <v/>
      </c>
      <c r="I12" s="16" t="str">
        <f aca="false">IF(C12="","",E12*12)</f>
        <v/>
      </c>
    </row>
    <row r="13" customFormat="false" ht="15" hidden="false" customHeight="false" outlineLevel="0" collapsed="false">
      <c r="B13" s="29"/>
      <c r="C13" s="6"/>
      <c r="D13" s="15" t="str">
        <f aca="false">IF(C13="","",IF(C13&lt;=Premissas!$D$7,Premissas!$B$7,IF(C13&lt;=Premissas!$D$8,Premissas!$B$8,IF(C13&lt;=Premissas!$D$9,Premissas!$B$9,Premissas!$B$10))))</f>
        <v/>
      </c>
      <c r="E13" s="16" t="str">
        <f aca="false">IF(C13="","",Premissas!$E$7+MAX(0,MIN(C13,Premissas!$D$8)-Premissas!$D$7)*Premissas!$E$8+MAX(0,MIN(C13,Premissas!$D$9)-Premissas!$D$8)*Premissas!$E$9+MAX(0,C13-Premissas!$D$9)*Premissas!$E$10)</f>
        <v/>
      </c>
      <c r="F13" s="16" t="str">
        <f aca="false">IF(C13="","",E13/C13)</f>
        <v/>
      </c>
      <c r="G13" s="16" t="str">
        <f aca="false">IF(C13="","",Premissas!$E$12)</f>
        <v/>
      </c>
      <c r="H13" s="16" t="str">
        <f aca="false">IF(C13="","",E13+G13)</f>
        <v/>
      </c>
      <c r="I13" s="16" t="str">
        <f aca="false">IF(C13="","",E13*12)</f>
        <v/>
      </c>
    </row>
    <row r="14" customFormat="false" ht="15" hidden="false" customHeight="false" outlineLevel="0" collapsed="false">
      <c r="B14" s="29"/>
      <c r="C14" s="6"/>
      <c r="D14" s="15" t="str">
        <f aca="false">IF(C14="","",IF(C14&lt;=Premissas!$D$7,Premissas!$B$7,IF(C14&lt;=Premissas!$D$8,Premissas!$B$8,IF(C14&lt;=Premissas!$D$9,Premissas!$B$9,Premissas!$B$10))))</f>
        <v/>
      </c>
      <c r="E14" s="16" t="str">
        <f aca="false">IF(C14="","",Premissas!$E$7+MAX(0,MIN(C14,Premissas!$D$8)-Premissas!$D$7)*Premissas!$E$8+MAX(0,MIN(C14,Premissas!$D$9)-Premissas!$D$8)*Premissas!$E$9+MAX(0,C14-Premissas!$D$9)*Premissas!$E$10)</f>
        <v/>
      </c>
      <c r="F14" s="16" t="str">
        <f aca="false">IF(C14="","",E14/C14)</f>
        <v/>
      </c>
      <c r="G14" s="16" t="str">
        <f aca="false">IF(C14="","",Premissas!$E$12)</f>
        <v/>
      </c>
      <c r="H14" s="16" t="str">
        <f aca="false">IF(C14="","",E14+G14)</f>
        <v/>
      </c>
      <c r="I14" s="16" t="str">
        <f aca="false">IF(C14="","",E14*12)</f>
        <v/>
      </c>
    </row>
    <row r="15" customFormat="false" ht="15" hidden="false" customHeight="false" outlineLevel="0" collapsed="false">
      <c r="B15" s="29"/>
      <c r="C15" s="6"/>
      <c r="D15" s="15" t="str">
        <f aca="false">IF(C15="","",IF(C15&lt;=Premissas!$D$7,Premissas!$B$7,IF(C15&lt;=Premissas!$D$8,Premissas!$B$8,IF(C15&lt;=Premissas!$D$9,Premissas!$B$9,Premissas!$B$10))))</f>
        <v/>
      </c>
      <c r="E15" s="16" t="str">
        <f aca="false">IF(C15="","",Premissas!$E$7+MAX(0,MIN(C15,Premissas!$D$8)-Premissas!$D$7)*Premissas!$E$8+MAX(0,MIN(C15,Premissas!$D$9)-Premissas!$D$8)*Premissas!$E$9+MAX(0,C15-Premissas!$D$9)*Premissas!$E$10)</f>
        <v/>
      </c>
      <c r="F15" s="16" t="str">
        <f aca="false">IF(C15="","",E15/C15)</f>
        <v/>
      </c>
      <c r="G15" s="16" t="str">
        <f aca="false">IF(C15="","",Premissas!$E$12)</f>
        <v/>
      </c>
      <c r="H15" s="16" t="str">
        <f aca="false">IF(C15="","",E15+G15)</f>
        <v/>
      </c>
      <c r="I15" s="16" t="str">
        <f aca="false">IF(C15="","",E15*12)</f>
        <v/>
      </c>
    </row>
    <row r="16" customFormat="false" ht="15" hidden="false" customHeight="false" outlineLevel="0" collapsed="false">
      <c r="B16" s="29"/>
      <c r="C16" s="6"/>
      <c r="D16" s="15" t="str">
        <f aca="false">IF(C16="","",IF(C16&lt;=Premissas!$D$7,Premissas!$B$7,IF(C16&lt;=Premissas!$D$8,Premissas!$B$8,IF(C16&lt;=Premissas!$D$9,Premissas!$B$9,Premissas!$B$10))))</f>
        <v/>
      </c>
      <c r="E16" s="16" t="str">
        <f aca="false">IF(C16="","",Premissas!$E$7+MAX(0,MIN(C16,Premissas!$D$8)-Premissas!$D$7)*Premissas!$E$8+MAX(0,MIN(C16,Premissas!$D$9)-Premissas!$D$8)*Premissas!$E$9+MAX(0,C16-Premissas!$D$9)*Premissas!$E$10)</f>
        <v/>
      </c>
      <c r="F16" s="16" t="str">
        <f aca="false">IF(C16="","",E16/C16)</f>
        <v/>
      </c>
      <c r="G16" s="16" t="str">
        <f aca="false">IF(C16="","",Premissas!$E$12)</f>
        <v/>
      </c>
      <c r="H16" s="16" t="str">
        <f aca="false">IF(C16="","",E16+G16)</f>
        <v/>
      </c>
      <c r="I16" s="16" t="str">
        <f aca="false">IF(C16="","",E16*12)</f>
        <v/>
      </c>
    </row>
    <row r="17" customFormat="false" ht="15" hidden="false" customHeight="false" outlineLevel="0" collapsed="false">
      <c r="B17" s="29"/>
      <c r="C17" s="6"/>
      <c r="D17" s="15" t="str">
        <f aca="false">IF(C17="","",IF(C17&lt;=Premissas!$D$7,Premissas!$B$7,IF(C17&lt;=Premissas!$D$8,Premissas!$B$8,IF(C17&lt;=Premissas!$D$9,Premissas!$B$9,Premissas!$B$10))))</f>
        <v/>
      </c>
      <c r="E17" s="16" t="str">
        <f aca="false">IF(C17="","",Premissas!$E$7+MAX(0,MIN(C17,Premissas!$D$8)-Premissas!$D$7)*Premissas!$E$8+MAX(0,MIN(C17,Premissas!$D$9)-Premissas!$D$8)*Premissas!$E$9+MAX(0,C17-Premissas!$D$9)*Premissas!$E$10)</f>
        <v/>
      </c>
      <c r="F17" s="16" t="str">
        <f aca="false">IF(C17="","",E17/C17)</f>
        <v/>
      </c>
      <c r="G17" s="16" t="str">
        <f aca="false">IF(C17="","",Premissas!$E$12)</f>
        <v/>
      </c>
      <c r="H17" s="16" t="str">
        <f aca="false">IF(C17="","",E17+G17)</f>
        <v/>
      </c>
      <c r="I17" s="16" t="str">
        <f aca="false">IF(C17="","",E17*12)</f>
        <v/>
      </c>
    </row>
    <row r="18" customFormat="false" ht="15" hidden="false" customHeight="false" outlineLevel="0" collapsed="false">
      <c r="B18" s="29"/>
      <c r="C18" s="6"/>
      <c r="D18" s="15" t="str">
        <f aca="false">IF(C18="","",IF(C18&lt;=Premissas!$D$7,Premissas!$B$7,IF(C18&lt;=Premissas!$D$8,Premissas!$B$8,IF(C18&lt;=Premissas!$D$9,Premissas!$B$9,Premissas!$B$10))))</f>
        <v/>
      </c>
      <c r="E18" s="16" t="str">
        <f aca="false">IF(C18="","",Premissas!$E$7+MAX(0,MIN(C18,Premissas!$D$8)-Premissas!$D$7)*Premissas!$E$8+MAX(0,MIN(C18,Premissas!$D$9)-Premissas!$D$8)*Premissas!$E$9+MAX(0,C18-Premissas!$D$9)*Premissas!$E$10)</f>
        <v/>
      </c>
      <c r="F18" s="16" t="str">
        <f aca="false">IF(C18="","",E18/C18)</f>
        <v/>
      </c>
      <c r="G18" s="16" t="str">
        <f aca="false">IF(C18="","",Premissas!$E$12)</f>
        <v/>
      </c>
      <c r="H18" s="16" t="str">
        <f aca="false">IF(C18="","",E18+G18)</f>
        <v/>
      </c>
      <c r="I18" s="16" t="str">
        <f aca="false">IF(C18="","",E18*12)</f>
        <v/>
      </c>
    </row>
    <row r="19" customFormat="false" ht="15" hidden="false" customHeight="false" outlineLevel="0" collapsed="false">
      <c r="B19" s="29"/>
      <c r="C19" s="6"/>
      <c r="D19" s="15" t="str">
        <f aca="false">IF(C19="","",IF(C19&lt;=Premissas!$D$7,Premissas!$B$7,IF(C19&lt;=Premissas!$D$8,Premissas!$B$8,IF(C19&lt;=Premissas!$D$9,Premissas!$B$9,Premissas!$B$10))))</f>
        <v/>
      </c>
      <c r="E19" s="16" t="str">
        <f aca="false">IF(C19="","",Premissas!$E$7+MAX(0,MIN(C19,Premissas!$D$8)-Premissas!$D$7)*Premissas!$E$8+MAX(0,MIN(C19,Premissas!$D$9)-Premissas!$D$8)*Premissas!$E$9+MAX(0,C19-Premissas!$D$9)*Premissas!$E$10)</f>
        <v/>
      </c>
      <c r="F19" s="16" t="str">
        <f aca="false">IF(C19="","",E19/C19)</f>
        <v/>
      </c>
      <c r="G19" s="16" t="str">
        <f aca="false">IF(C19="","",Premissas!$E$12)</f>
        <v/>
      </c>
      <c r="H19" s="16" t="str">
        <f aca="false">IF(C19="","",E19+G19)</f>
        <v/>
      </c>
      <c r="I19" s="16" t="str">
        <f aca="false">IF(C19="","",E19*12)</f>
        <v/>
      </c>
    </row>
    <row r="20" customFormat="false" ht="15" hidden="false" customHeight="false" outlineLevel="0" collapsed="false">
      <c r="B20" s="29"/>
      <c r="C20" s="6"/>
      <c r="D20" s="15" t="str">
        <f aca="false">IF(C20="","",IF(C20&lt;=Premissas!$D$7,Premissas!$B$7,IF(C20&lt;=Premissas!$D$8,Premissas!$B$8,IF(C20&lt;=Premissas!$D$9,Premissas!$B$9,Premissas!$B$10))))</f>
        <v/>
      </c>
      <c r="E20" s="16" t="str">
        <f aca="false">IF(C20="","",Premissas!$E$7+MAX(0,MIN(C20,Premissas!$D$8)-Premissas!$D$7)*Premissas!$E$8+MAX(0,MIN(C20,Premissas!$D$9)-Premissas!$D$8)*Premissas!$E$9+MAX(0,C20-Premissas!$D$9)*Premissas!$E$10)</f>
        <v/>
      </c>
      <c r="F20" s="16" t="str">
        <f aca="false">IF(C20="","",E20/C20)</f>
        <v/>
      </c>
      <c r="G20" s="16" t="str">
        <f aca="false">IF(C20="","",Premissas!$E$12)</f>
        <v/>
      </c>
      <c r="H20" s="16" t="str">
        <f aca="false">IF(C20="","",E20+G20)</f>
        <v/>
      </c>
      <c r="I20" s="16" t="str">
        <f aca="false">IF(C20="","",E20*12)</f>
        <v/>
      </c>
    </row>
    <row r="21" customFormat="false" ht="15" hidden="false" customHeight="false" outlineLevel="0" collapsed="false">
      <c r="B21" s="29"/>
      <c r="C21" s="6"/>
      <c r="D21" s="15" t="str">
        <f aca="false">IF(C21="","",IF(C21&lt;=Premissas!$D$7,Premissas!$B$7,IF(C21&lt;=Premissas!$D$8,Premissas!$B$8,IF(C21&lt;=Premissas!$D$9,Premissas!$B$9,Premissas!$B$10))))</f>
        <v/>
      </c>
      <c r="E21" s="16" t="str">
        <f aca="false">IF(C21="","",Premissas!$E$7+MAX(0,MIN(C21,Premissas!$D$8)-Premissas!$D$7)*Premissas!$E$8+MAX(0,MIN(C21,Premissas!$D$9)-Premissas!$D$8)*Premissas!$E$9+MAX(0,C21-Premissas!$D$9)*Premissas!$E$10)</f>
        <v/>
      </c>
      <c r="F21" s="16" t="str">
        <f aca="false">IF(C21="","",E21/C21)</f>
        <v/>
      </c>
      <c r="G21" s="16" t="str">
        <f aca="false">IF(C21="","",Premissas!$E$12)</f>
        <v/>
      </c>
      <c r="H21" s="16" t="str">
        <f aca="false">IF(C21="","",E21+G21)</f>
        <v/>
      </c>
      <c r="I21" s="16" t="str">
        <f aca="false">IF(C21="","",E21*12)</f>
        <v/>
      </c>
    </row>
    <row r="22" customFormat="false" ht="15" hidden="false" customHeight="false" outlineLevel="0" collapsed="false">
      <c r="B22" s="29"/>
      <c r="C22" s="6"/>
      <c r="D22" s="15" t="str">
        <f aca="false">IF(C22="","",IF(C22&lt;=Premissas!$D$7,Premissas!$B$7,IF(C22&lt;=Premissas!$D$8,Premissas!$B$8,IF(C22&lt;=Premissas!$D$9,Premissas!$B$9,Premissas!$B$10))))</f>
        <v/>
      </c>
      <c r="E22" s="16" t="str">
        <f aca="false">IF(C22="","",Premissas!$E$7+MAX(0,MIN(C22,Premissas!$D$8)-Premissas!$D$7)*Premissas!$E$8+MAX(0,MIN(C22,Premissas!$D$9)-Premissas!$D$8)*Premissas!$E$9+MAX(0,C22-Premissas!$D$9)*Premissas!$E$10)</f>
        <v/>
      </c>
      <c r="F22" s="16" t="str">
        <f aca="false">IF(C22="","",E22/C22)</f>
        <v/>
      </c>
      <c r="G22" s="16" t="str">
        <f aca="false">IF(C22="","",Premissas!$E$12)</f>
        <v/>
      </c>
      <c r="H22" s="16" t="str">
        <f aca="false">IF(C22="","",E22+G22)</f>
        <v/>
      </c>
      <c r="I22" s="16" t="str">
        <f aca="false">IF(C22="","",E22*12)</f>
        <v/>
      </c>
    </row>
    <row r="23" customFormat="false" ht="15" hidden="false" customHeight="false" outlineLevel="0" collapsed="false">
      <c r="B23" s="29"/>
      <c r="C23" s="6"/>
      <c r="D23" s="15" t="str">
        <f aca="false">IF(C23="","",IF(C23&lt;=Premissas!$D$7,Premissas!$B$7,IF(C23&lt;=Premissas!$D$8,Premissas!$B$8,IF(C23&lt;=Premissas!$D$9,Premissas!$B$9,Premissas!$B$10))))</f>
        <v/>
      </c>
      <c r="E23" s="16" t="str">
        <f aca="false">IF(C23="","",Premissas!$E$7+MAX(0,MIN(C23,Premissas!$D$8)-Premissas!$D$7)*Premissas!$E$8+MAX(0,MIN(C23,Premissas!$D$9)-Premissas!$D$8)*Premissas!$E$9+MAX(0,C23-Premissas!$D$9)*Premissas!$E$10)</f>
        <v/>
      </c>
      <c r="F23" s="16" t="str">
        <f aca="false">IF(C23="","",E23/C23)</f>
        <v/>
      </c>
      <c r="G23" s="16" t="str">
        <f aca="false">IF(C23="","",Premissas!$E$12)</f>
        <v/>
      </c>
      <c r="H23" s="16" t="str">
        <f aca="false">IF(C23="","",E23+G23)</f>
        <v/>
      </c>
      <c r="I23" s="16" t="str">
        <f aca="false">IF(C23="","",E23*12)</f>
        <v/>
      </c>
    </row>
    <row r="24" customFormat="false" ht="15" hidden="false" customHeight="false" outlineLevel="0" collapsed="false">
      <c r="B24" s="29"/>
      <c r="C24" s="6"/>
      <c r="D24" s="15" t="str">
        <f aca="false">IF(C24="","",IF(C24&lt;=Premissas!$D$7,Premissas!$B$7,IF(C24&lt;=Premissas!$D$8,Premissas!$B$8,IF(C24&lt;=Premissas!$D$9,Premissas!$B$9,Premissas!$B$10))))</f>
        <v/>
      </c>
      <c r="E24" s="16" t="str">
        <f aca="false">IF(C24="","",Premissas!$E$7+MAX(0,MIN(C24,Premissas!$D$8)-Premissas!$D$7)*Premissas!$E$8+MAX(0,MIN(C24,Premissas!$D$9)-Premissas!$D$8)*Premissas!$E$9+MAX(0,C24-Premissas!$D$9)*Premissas!$E$10)</f>
        <v/>
      </c>
      <c r="F24" s="16" t="str">
        <f aca="false">IF(C24="","",E24/C24)</f>
        <v/>
      </c>
      <c r="G24" s="16" t="str">
        <f aca="false">IF(C24="","",Premissas!$E$12)</f>
        <v/>
      </c>
      <c r="H24" s="16" t="str">
        <f aca="false">IF(C24="","",E24+G24)</f>
        <v/>
      </c>
      <c r="I24" s="16" t="str">
        <f aca="false">IF(C24="","",E24*12)</f>
        <v/>
      </c>
    </row>
    <row r="25" customFormat="false" ht="15" hidden="false" customHeight="false" outlineLevel="0" collapsed="false">
      <c r="B25" s="29"/>
      <c r="C25" s="6"/>
      <c r="D25" s="15" t="str">
        <f aca="false">IF(C25="","",IF(C25&lt;=Premissas!$D$7,Premissas!$B$7,IF(C25&lt;=Premissas!$D$8,Premissas!$B$8,IF(C25&lt;=Premissas!$D$9,Premissas!$B$9,Premissas!$B$10))))</f>
        <v/>
      </c>
      <c r="E25" s="16" t="str">
        <f aca="false">IF(C25="","",Premissas!$E$7+MAX(0,MIN(C25,Premissas!$D$8)-Premissas!$D$7)*Premissas!$E$8+MAX(0,MIN(C25,Premissas!$D$9)-Premissas!$D$8)*Premissas!$E$9+MAX(0,C25-Premissas!$D$9)*Premissas!$E$10)</f>
        <v/>
      </c>
      <c r="F25" s="16" t="str">
        <f aca="false">IF(C25="","",E25/C25)</f>
        <v/>
      </c>
      <c r="G25" s="16" t="str">
        <f aca="false">IF(C25="","",Premissas!$E$12)</f>
        <v/>
      </c>
      <c r="H25" s="16" t="str">
        <f aca="false">IF(C25="","",E25+G25)</f>
        <v/>
      </c>
      <c r="I25" s="16" t="str">
        <f aca="false">IF(C25="","",E25*12)</f>
        <v/>
      </c>
    </row>
    <row r="26" customFormat="false" ht="15" hidden="false" customHeight="false" outlineLevel="0" collapsed="false">
      <c r="B26" s="29"/>
      <c r="C26" s="6"/>
      <c r="D26" s="15" t="str">
        <f aca="false">IF(C26="","",IF(C26&lt;=Premissas!$D$7,Premissas!$B$7,IF(C26&lt;=Premissas!$D$8,Premissas!$B$8,IF(C26&lt;=Premissas!$D$9,Premissas!$B$9,Premissas!$B$10))))</f>
        <v/>
      </c>
      <c r="E26" s="16" t="str">
        <f aca="false">IF(C26="","",Premissas!$E$7+MAX(0,MIN(C26,Premissas!$D$8)-Premissas!$D$7)*Premissas!$E$8+MAX(0,MIN(C26,Premissas!$D$9)-Premissas!$D$8)*Premissas!$E$9+MAX(0,C26-Premissas!$D$9)*Premissas!$E$10)</f>
        <v/>
      </c>
      <c r="F26" s="16" t="str">
        <f aca="false">IF(C26="","",E26/C26)</f>
        <v/>
      </c>
      <c r="G26" s="16" t="str">
        <f aca="false">IF(C26="","",Premissas!$E$12)</f>
        <v/>
      </c>
      <c r="H26" s="16" t="str">
        <f aca="false">IF(C26="","",E26+G26)</f>
        <v/>
      </c>
      <c r="I26" s="16" t="str">
        <f aca="false">IF(C26="","",E26*12)</f>
        <v/>
      </c>
    </row>
    <row r="27" customFormat="false" ht="15" hidden="false" customHeight="false" outlineLevel="0" collapsed="false">
      <c r="B27" s="20" t="s">
        <v>59</v>
      </c>
      <c r="C27" s="21" t="n">
        <f aca="false">SUM(C7:C26)</f>
        <v>85</v>
      </c>
      <c r="D27" s="20"/>
      <c r="E27" s="22" t="n">
        <f aca="false">SUM(E7:E26)</f>
        <v>817.5</v>
      </c>
      <c r="F27" s="22"/>
      <c r="G27" s="22" t="n">
        <f aca="false">SUM(G7:G26)</f>
        <v>490</v>
      </c>
      <c r="H27" s="22" t="n">
        <f aca="false">SUM(H7:H26)</f>
        <v>1307.5</v>
      </c>
      <c r="I27" s="22" t="n">
        <f aca="false">SUM(I7:I26)</f>
        <v>9810</v>
      </c>
    </row>
    <row r="29" customFormat="false" ht="15" hidden="false" customHeight="false" outlineLevel="0" collapsed="false">
      <c r="B29" s="12" t="s">
        <v>60</v>
      </c>
    </row>
    <row r="30" customFormat="false" ht="15" hidden="false" customHeight="true" outlineLevel="0" collapsed="false">
      <c r="B30" s="13" t="s">
        <v>61</v>
      </c>
      <c r="C30" s="13"/>
      <c r="D30" s="13"/>
      <c r="E30" s="13"/>
      <c r="F30" s="13"/>
      <c r="G30" s="13"/>
      <c r="H30" s="13"/>
      <c r="I30" s="13"/>
    </row>
    <row r="31" customFormat="false" ht="15" hidden="false" customHeight="false" outlineLevel="0" collapsed="false">
      <c r="B31" s="13"/>
      <c r="C31" s="13"/>
      <c r="D31" s="13"/>
      <c r="E31" s="13"/>
      <c r="F31" s="13"/>
      <c r="G31" s="13"/>
      <c r="H31" s="13"/>
      <c r="I31" s="13"/>
    </row>
    <row r="32" customFormat="false" ht="15" hidden="false" customHeight="false" outlineLevel="0" collapsed="false">
      <c r="B32" s="13"/>
      <c r="C32" s="13"/>
      <c r="D32" s="13"/>
      <c r="E32" s="13"/>
      <c r="F32" s="13"/>
      <c r="G32" s="13"/>
      <c r="H32" s="13"/>
      <c r="I32" s="13"/>
    </row>
  </sheetData>
  <mergeCells count="1">
    <mergeCell ref="B30:I3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F3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3"/>
    <col collapsed="false" customWidth="true" hidden="false" outlineLevel="0" max="4" min="3" style="0" width="16"/>
    <col collapsed="false" customWidth="true" hidden="false" outlineLevel="0" max="6" min="5" style="0" width="18"/>
  </cols>
  <sheetData>
    <row r="2" customFormat="false" ht="18.55" hidden="false" customHeight="false" outlineLevel="0" collapsed="false">
      <c r="B2" s="1" t="s">
        <v>62</v>
      </c>
    </row>
    <row r="3" customFormat="false" ht="15" hidden="false" customHeight="false" outlineLevel="0" collapsed="false">
      <c r="B3" s="2" t="s">
        <v>63</v>
      </c>
    </row>
    <row r="6" customFormat="false" ht="33.75" hidden="false" customHeight="true" outlineLevel="0" collapsed="false">
      <c r="B6" s="3" t="s">
        <v>3</v>
      </c>
      <c r="C6" s="3" t="s">
        <v>2</v>
      </c>
      <c r="D6" s="3" t="s">
        <v>28</v>
      </c>
      <c r="E6" s="3" t="s">
        <v>29</v>
      </c>
      <c r="F6" s="3" t="s">
        <v>32</v>
      </c>
    </row>
    <row r="7" customFormat="false" ht="15" hidden="false" customHeight="false" outlineLevel="0" collapsed="false">
      <c r="B7" s="15" t="n">
        <v>10</v>
      </c>
      <c r="C7" s="15" t="str">
        <f aca="false">IF(B7&lt;=Premissas!$D$7,Premissas!$B$7,IF(B7&lt;=Premissas!$D$8,Premissas!$B$8,IF(B7&lt;=Premissas!$D$9,Premissas!$B$9,Premissas!$B$10)))</f>
        <v>Compacto</v>
      </c>
      <c r="D7" s="16" t="n">
        <f aca="false">Premissas!$E$7+MAX(0,MIN(B7,Premissas!$D$8)-Premissas!$D$7)*Premissas!$E$8+MAX(0,MIN(B7,Premissas!$D$9)-Premissas!$D$8)*Premissas!$E$9+MAX(0,B7-Premissas!$D$9)*Premissas!$E$10</f>
        <v>298</v>
      </c>
      <c r="E7" s="16" t="n">
        <f aca="false">D7/B7</f>
        <v>29.8</v>
      </c>
      <c r="F7" s="16" t="n">
        <f aca="false">D7*12</f>
        <v>3576</v>
      </c>
    </row>
    <row r="8" customFormat="false" ht="15" hidden="false" customHeight="false" outlineLevel="0" collapsed="false">
      <c r="B8" s="17" t="n">
        <v>15</v>
      </c>
      <c r="C8" s="17" t="str">
        <f aca="false">IF(B8&lt;=Premissas!$D$7,Premissas!$B$7,IF(B8&lt;=Premissas!$D$8,Premissas!$B$8,IF(B8&lt;=Premissas!$D$9,Premissas!$B$9,Premissas!$B$10)))</f>
        <v>Compacto</v>
      </c>
      <c r="D8" s="19" t="n">
        <f aca="false">Premissas!$E$7+MAX(0,MIN(B8,Premissas!$D$8)-Premissas!$D$7)*Premissas!$E$8+MAX(0,MIN(B8,Premissas!$D$9)-Premissas!$D$8)*Premissas!$E$9+MAX(0,B8-Premissas!$D$9)*Premissas!$E$10</f>
        <v>298</v>
      </c>
      <c r="E8" s="19" t="n">
        <f aca="false">D8/B8</f>
        <v>19.8666666666667</v>
      </c>
      <c r="F8" s="19" t="n">
        <f aca="false">D8*12</f>
        <v>3576</v>
      </c>
    </row>
    <row r="9" customFormat="false" ht="15" hidden="false" customHeight="false" outlineLevel="0" collapsed="false">
      <c r="B9" s="15" t="n">
        <v>20</v>
      </c>
      <c r="C9" s="15" t="str">
        <f aca="false">IF(B9&lt;=Premissas!$D$7,Premissas!$B$7,IF(B9&lt;=Premissas!$D$8,Premissas!$B$8,IF(B9&lt;=Premissas!$D$9,Premissas!$B$9,Premissas!$B$10)))</f>
        <v>Compacto</v>
      </c>
      <c r="D9" s="16" t="n">
        <f aca="false">Premissas!$E$7+MAX(0,MIN(B9,Premissas!$D$8)-Premissas!$D$7)*Premissas!$E$8+MAX(0,MIN(B9,Premissas!$D$9)-Premissas!$D$8)*Premissas!$E$9+MAX(0,B9-Premissas!$D$9)*Premissas!$E$10</f>
        <v>298</v>
      </c>
      <c r="E9" s="16" t="n">
        <f aca="false">D9/B9</f>
        <v>14.9</v>
      </c>
      <c r="F9" s="16" t="n">
        <f aca="false">D9*12</f>
        <v>3576</v>
      </c>
    </row>
    <row r="10" customFormat="false" ht="15" hidden="false" customHeight="false" outlineLevel="0" collapsed="false">
      <c r="B10" s="17" t="n">
        <v>25</v>
      </c>
      <c r="C10" s="17" t="str">
        <f aca="false">IF(B10&lt;=Premissas!$D$7,Premissas!$B$7,IF(B10&lt;=Premissas!$D$8,Premissas!$B$8,IF(B10&lt;=Premissas!$D$9,Premissas!$B$9,Premissas!$B$10)))</f>
        <v>Compacto</v>
      </c>
      <c r="D10" s="19" t="n">
        <f aca="false">Premissas!$E$7+MAX(0,MIN(B10,Premissas!$D$8)-Premissas!$D$7)*Premissas!$E$8+MAX(0,MIN(B10,Premissas!$D$9)-Premissas!$D$8)*Premissas!$E$9+MAX(0,B10-Premissas!$D$9)*Premissas!$E$10</f>
        <v>298</v>
      </c>
      <c r="E10" s="19" t="n">
        <f aca="false">D10/B10</f>
        <v>11.92</v>
      </c>
      <c r="F10" s="19" t="n">
        <f aca="false">D10*12</f>
        <v>3576</v>
      </c>
    </row>
    <row r="11" customFormat="false" ht="15" hidden="false" customHeight="false" outlineLevel="0" collapsed="false">
      <c r="B11" s="15" t="n">
        <v>30</v>
      </c>
      <c r="C11" s="15" t="str">
        <f aca="false">IF(B11&lt;=Premissas!$D$7,Premissas!$B$7,IF(B11&lt;=Premissas!$D$8,Premissas!$B$8,IF(B11&lt;=Premissas!$D$9,Premissas!$B$9,Premissas!$B$10)))</f>
        <v>Compacto</v>
      </c>
      <c r="D11" s="16" t="n">
        <f aca="false">Premissas!$E$7+MAX(0,MIN(B11,Premissas!$D$8)-Premissas!$D$7)*Premissas!$E$8+MAX(0,MIN(B11,Premissas!$D$9)-Premissas!$D$8)*Premissas!$E$9+MAX(0,B11-Premissas!$D$9)*Premissas!$E$10</f>
        <v>298</v>
      </c>
      <c r="E11" s="16" t="n">
        <f aca="false">D11/B11</f>
        <v>9.93333333333333</v>
      </c>
      <c r="F11" s="16" t="n">
        <f aca="false">D11*12</f>
        <v>3576</v>
      </c>
    </row>
    <row r="12" customFormat="false" ht="15" hidden="false" customHeight="false" outlineLevel="0" collapsed="false">
      <c r="B12" s="17" t="n">
        <v>35</v>
      </c>
      <c r="C12" s="17" t="str">
        <f aca="false">IF(B12&lt;=Premissas!$D$7,Premissas!$B$7,IF(B12&lt;=Premissas!$D$8,Premissas!$B$8,IF(B12&lt;=Premissas!$D$9,Premissas!$B$9,Premissas!$B$10)))</f>
        <v>Padrão</v>
      </c>
      <c r="D12" s="19" t="n">
        <f aca="false">Premissas!$E$7+MAX(0,MIN(B12,Premissas!$D$8)-Premissas!$D$7)*Premissas!$E$8+MAX(0,MIN(B12,Premissas!$D$9)-Premissas!$D$8)*Premissas!$E$9+MAX(0,B12-Premissas!$D$9)*Premissas!$E$10</f>
        <v>347.5</v>
      </c>
      <c r="E12" s="19" t="n">
        <f aca="false">D12/B12</f>
        <v>9.92857142857143</v>
      </c>
      <c r="F12" s="19" t="n">
        <f aca="false">D12*12</f>
        <v>4170</v>
      </c>
    </row>
    <row r="13" customFormat="false" ht="15" hidden="false" customHeight="false" outlineLevel="0" collapsed="false">
      <c r="B13" s="15" t="n">
        <v>40</v>
      </c>
      <c r="C13" s="15" t="str">
        <f aca="false">IF(B13&lt;=Premissas!$D$7,Premissas!$B$7,IF(B13&lt;=Premissas!$D$8,Premissas!$B$8,IF(B13&lt;=Premissas!$D$9,Premissas!$B$9,Premissas!$B$10)))</f>
        <v>Padrão</v>
      </c>
      <c r="D13" s="16" t="n">
        <f aca="false">Premissas!$E$7+MAX(0,MIN(B13,Premissas!$D$8)-Premissas!$D$7)*Premissas!$E$8+MAX(0,MIN(B13,Premissas!$D$9)-Premissas!$D$8)*Premissas!$E$9+MAX(0,B13-Premissas!$D$9)*Premissas!$E$10</f>
        <v>397</v>
      </c>
      <c r="E13" s="16" t="n">
        <f aca="false">D13/B13</f>
        <v>9.925</v>
      </c>
      <c r="F13" s="16" t="n">
        <f aca="false">D13*12</f>
        <v>4764</v>
      </c>
    </row>
    <row r="14" customFormat="false" ht="15" hidden="false" customHeight="false" outlineLevel="0" collapsed="false">
      <c r="B14" s="17" t="n">
        <v>50</v>
      </c>
      <c r="C14" s="17" t="str">
        <f aca="false">IF(B14&lt;=Premissas!$D$7,Premissas!$B$7,IF(B14&lt;=Premissas!$D$8,Premissas!$B$8,IF(B14&lt;=Premissas!$D$9,Premissas!$B$9,Premissas!$B$10)))</f>
        <v>Padrão</v>
      </c>
      <c r="D14" s="19" t="n">
        <f aca="false">Premissas!$E$7+MAX(0,MIN(B14,Premissas!$D$8)-Premissas!$D$7)*Premissas!$E$8+MAX(0,MIN(B14,Premissas!$D$9)-Premissas!$D$8)*Premissas!$E$9+MAX(0,B14-Premissas!$D$9)*Premissas!$E$10</f>
        <v>496</v>
      </c>
      <c r="E14" s="19" t="n">
        <f aca="false">D14/B14</f>
        <v>9.92</v>
      </c>
      <c r="F14" s="19" t="n">
        <f aca="false">D14*12</f>
        <v>5952</v>
      </c>
    </row>
    <row r="15" customFormat="false" ht="15" hidden="false" customHeight="false" outlineLevel="0" collapsed="false">
      <c r="B15" s="15" t="n">
        <v>60</v>
      </c>
      <c r="C15" s="15" t="str">
        <f aca="false">IF(B15&lt;=Premissas!$D$7,Premissas!$B$7,IF(B15&lt;=Premissas!$D$8,Premissas!$B$8,IF(B15&lt;=Premissas!$D$9,Premissas!$B$9,Premissas!$B$10)))</f>
        <v>Padrão</v>
      </c>
      <c r="D15" s="16" t="n">
        <f aca="false">Premissas!$E$7+MAX(0,MIN(B15,Premissas!$D$8)-Premissas!$D$7)*Premissas!$E$8+MAX(0,MIN(B15,Premissas!$D$9)-Premissas!$D$8)*Premissas!$E$9+MAX(0,B15-Premissas!$D$9)*Premissas!$E$10</f>
        <v>595</v>
      </c>
      <c r="E15" s="16" t="n">
        <f aca="false">D15/B15</f>
        <v>9.91666666666667</v>
      </c>
      <c r="F15" s="16" t="n">
        <f aca="false">D15*12</f>
        <v>7140</v>
      </c>
    </row>
    <row r="16" customFormat="false" ht="15" hidden="false" customHeight="false" outlineLevel="0" collapsed="false">
      <c r="B16" s="17" t="n">
        <v>70</v>
      </c>
      <c r="C16" s="17" t="str">
        <f aca="false">IF(B16&lt;=Premissas!$D$7,Premissas!$B$7,IF(B16&lt;=Premissas!$D$8,Premissas!$B$8,IF(B16&lt;=Premissas!$D$9,Premissas!$B$9,Premissas!$B$10)))</f>
        <v>Plus</v>
      </c>
      <c r="D16" s="19" t="n">
        <f aca="false">Premissas!$E$7+MAX(0,MIN(B16,Premissas!$D$8)-Premissas!$D$7)*Premissas!$E$8+MAX(0,MIN(B16,Premissas!$D$9)-Premissas!$D$8)*Premissas!$E$9+MAX(0,B16-Premissas!$D$9)*Premissas!$E$10</f>
        <v>684</v>
      </c>
      <c r="E16" s="19" t="n">
        <f aca="false">D16/B16</f>
        <v>9.77142857142857</v>
      </c>
      <c r="F16" s="19" t="n">
        <f aca="false">D16*12</f>
        <v>8208</v>
      </c>
    </row>
    <row r="17" customFormat="false" ht="15" hidden="false" customHeight="false" outlineLevel="0" collapsed="false">
      <c r="B17" s="15" t="n">
        <v>80</v>
      </c>
      <c r="C17" s="15" t="str">
        <f aca="false">IF(B17&lt;=Premissas!$D$7,Premissas!$B$7,IF(B17&lt;=Premissas!$D$8,Premissas!$B$8,IF(B17&lt;=Premissas!$D$9,Premissas!$B$9,Premissas!$B$10)))</f>
        <v>Plus</v>
      </c>
      <c r="D17" s="16" t="n">
        <f aca="false">Premissas!$E$7+MAX(0,MIN(B17,Premissas!$D$8)-Premissas!$D$7)*Premissas!$E$8+MAX(0,MIN(B17,Premissas!$D$9)-Premissas!$D$8)*Premissas!$E$9+MAX(0,B17-Premissas!$D$9)*Premissas!$E$10</f>
        <v>773</v>
      </c>
      <c r="E17" s="16" t="n">
        <f aca="false">D17/B17</f>
        <v>9.6625</v>
      </c>
      <c r="F17" s="16" t="n">
        <f aca="false">D17*12</f>
        <v>9276</v>
      </c>
    </row>
    <row r="18" customFormat="false" ht="15" hidden="false" customHeight="false" outlineLevel="0" collapsed="false">
      <c r="B18" s="17" t="n">
        <v>90</v>
      </c>
      <c r="C18" s="17" t="str">
        <f aca="false">IF(B18&lt;=Premissas!$D$7,Premissas!$B$7,IF(B18&lt;=Premissas!$D$8,Premissas!$B$8,IF(B18&lt;=Premissas!$D$9,Premissas!$B$9,Premissas!$B$10)))</f>
        <v>Plus</v>
      </c>
      <c r="D18" s="19" t="n">
        <f aca="false">Premissas!$E$7+MAX(0,MIN(B18,Premissas!$D$8)-Premissas!$D$7)*Premissas!$E$8+MAX(0,MIN(B18,Premissas!$D$9)-Premissas!$D$8)*Premissas!$E$9+MAX(0,B18-Premissas!$D$9)*Premissas!$E$10</f>
        <v>862</v>
      </c>
      <c r="E18" s="19" t="n">
        <f aca="false">D18/B18</f>
        <v>9.57777777777778</v>
      </c>
      <c r="F18" s="19" t="n">
        <f aca="false">D18*12</f>
        <v>10344</v>
      </c>
    </row>
    <row r="19" customFormat="false" ht="15" hidden="false" customHeight="false" outlineLevel="0" collapsed="false">
      <c r="B19" s="15" t="n">
        <v>100</v>
      </c>
      <c r="C19" s="15" t="str">
        <f aca="false">IF(B19&lt;=Premissas!$D$7,Premissas!$B$7,IF(B19&lt;=Premissas!$D$8,Premissas!$B$8,IF(B19&lt;=Premissas!$D$9,Premissas!$B$9,Premissas!$B$10)))</f>
        <v>Plus</v>
      </c>
      <c r="D19" s="16" t="n">
        <f aca="false">Premissas!$E$7+MAX(0,MIN(B19,Premissas!$D$8)-Premissas!$D$7)*Premissas!$E$8+MAX(0,MIN(B19,Premissas!$D$9)-Premissas!$D$8)*Premissas!$E$9+MAX(0,B19-Premissas!$D$9)*Premissas!$E$10</f>
        <v>951</v>
      </c>
      <c r="E19" s="16" t="n">
        <f aca="false">D19/B19</f>
        <v>9.51</v>
      </c>
      <c r="F19" s="16" t="n">
        <f aca="false">D19*12</f>
        <v>11412</v>
      </c>
    </row>
    <row r="20" customFormat="false" ht="15" hidden="false" customHeight="false" outlineLevel="0" collapsed="false">
      <c r="B20" s="17" t="n">
        <v>110</v>
      </c>
      <c r="C20" s="17" t="str">
        <f aca="false">IF(B20&lt;=Premissas!$D$7,Premissas!$B$7,IF(B20&lt;=Premissas!$D$8,Premissas!$B$8,IF(B20&lt;=Premissas!$D$9,Premissas!$B$9,Premissas!$B$10)))</f>
        <v>Plus</v>
      </c>
      <c r="D20" s="19" t="n">
        <f aca="false">Premissas!$E$7+MAX(0,MIN(B20,Premissas!$D$8)-Premissas!$D$7)*Premissas!$E$8+MAX(0,MIN(B20,Premissas!$D$9)-Premissas!$D$8)*Premissas!$E$9+MAX(0,B20-Premissas!$D$9)*Premissas!$E$10</f>
        <v>1040</v>
      </c>
      <c r="E20" s="19" t="n">
        <f aca="false">D20/B20</f>
        <v>9.45454545454546</v>
      </c>
      <c r="F20" s="19" t="n">
        <f aca="false">D20*12</f>
        <v>12480</v>
      </c>
    </row>
    <row r="21" customFormat="false" ht="15" hidden="false" customHeight="false" outlineLevel="0" collapsed="false">
      <c r="B21" s="30" t="n">
        <v>120</v>
      </c>
      <c r="C21" s="30" t="str">
        <f aca="false">IF(B21&lt;=Premissas!$D$7,Premissas!$B$7,IF(B21&lt;=Premissas!$D$8,Premissas!$B$8,IF(B21&lt;=Premissas!$D$9,Premissas!$B$9,Premissas!$B$10)))</f>
        <v>Plus</v>
      </c>
      <c r="D21" s="31" t="n">
        <f aca="false">Premissas!$E$7+MAX(0,MIN(B21,Premissas!$D$8)-Premissas!$D$7)*Premissas!$E$8+MAX(0,MIN(B21,Premissas!$D$9)-Premissas!$D$8)*Premissas!$E$9+MAX(0,B21-Premissas!$D$9)*Premissas!$E$10</f>
        <v>1129</v>
      </c>
      <c r="E21" s="31" t="n">
        <f aca="false">D21/B21</f>
        <v>9.40833333333333</v>
      </c>
      <c r="F21" s="31" t="n">
        <f aca="false">D21*12</f>
        <v>13548</v>
      </c>
    </row>
    <row r="22" customFormat="false" ht="15" hidden="false" customHeight="false" outlineLevel="0" collapsed="false">
      <c r="B22" s="17" t="n">
        <v>130</v>
      </c>
      <c r="C22" s="17" t="str">
        <f aca="false">IF(B22&lt;=Premissas!$D$7,Premissas!$B$7,IF(B22&lt;=Premissas!$D$8,Premissas!$B$8,IF(B22&lt;=Premissas!$D$9,Premissas!$B$9,Premissas!$B$10)))</f>
        <v>Corporativo</v>
      </c>
      <c r="D22" s="19" t="n">
        <f aca="false">Premissas!$E$7+MAX(0,MIN(B22,Premissas!$D$8)-Premissas!$D$7)*Premissas!$E$8+MAX(0,MIN(B22,Premissas!$D$9)-Premissas!$D$8)*Premissas!$E$9+MAX(0,B22-Premissas!$D$9)*Premissas!$E$10</f>
        <v>1248</v>
      </c>
      <c r="E22" s="19" t="n">
        <f aca="false">D22/B22</f>
        <v>9.6</v>
      </c>
      <c r="F22" s="19" t="n">
        <f aca="false">D22*12</f>
        <v>14976</v>
      </c>
    </row>
    <row r="23" customFormat="false" ht="15" hidden="false" customHeight="false" outlineLevel="0" collapsed="false">
      <c r="B23" s="15" t="n">
        <v>150</v>
      </c>
      <c r="C23" s="15" t="str">
        <f aca="false">IF(B23&lt;=Premissas!$D$7,Premissas!$B$7,IF(B23&lt;=Premissas!$D$8,Premissas!$B$8,IF(B23&lt;=Premissas!$D$9,Premissas!$B$9,Premissas!$B$10)))</f>
        <v>Corporativo</v>
      </c>
      <c r="D23" s="16" t="n">
        <f aca="false">Premissas!$E$7+MAX(0,MIN(B23,Premissas!$D$8)-Premissas!$D$7)*Premissas!$E$8+MAX(0,MIN(B23,Premissas!$D$9)-Premissas!$D$8)*Premissas!$E$9+MAX(0,B23-Premissas!$D$9)*Premissas!$E$10</f>
        <v>1486</v>
      </c>
      <c r="E23" s="16" t="n">
        <f aca="false">D23/B23</f>
        <v>9.90666666666667</v>
      </c>
      <c r="F23" s="16" t="n">
        <f aca="false">D23*12</f>
        <v>17832</v>
      </c>
    </row>
    <row r="24" customFormat="false" ht="15" hidden="false" customHeight="false" outlineLevel="0" collapsed="false">
      <c r="B24" s="17" t="n">
        <v>175</v>
      </c>
      <c r="C24" s="17" t="str">
        <f aca="false">IF(B24&lt;=Premissas!$D$7,Premissas!$B$7,IF(B24&lt;=Premissas!$D$8,Premissas!$B$8,IF(B24&lt;=Premissas!$D$9,Premissas!$B$9,Premissas!$B$10)))</f>
        <v>Corporativo</v>
      </c>
      <c r="D24" s="19" t="n">
        <f aca="false">Premissas!$E$7+MAX(0,MIN(B24,Premissas!$D$8)-Premissas!$D$7)*Premissas!$E$8+MAX(0,MIN(B24,Premissas!$D$9)-Premissas!$D$8)*Premissas!$E$9+MAX(0,B24-Premissas!$D$9)*Premissas!$E$10</f>
        <v>1783.5</v>
      </c>
      <c r="E24" s="19" t="n">
        <f aca="false">D24/B24</f>
        <v>10.1914285714286</v>
      </c>
      <c r="F24" s="19" t="n">
        <f aca="false">D24*12</f>
        <v>21402</v>
      </c>
    </row>
    <row r="25" customFormat="false" ht="15" hidden="false" customHeight="false" outlineLevel="0" collapsed="false">
      <c r="B25" s="15" t="n">
        <v>200</v>
      </c>
      <c r="C25" s="15" t="str">
        <f aca="false">IF(B25&lt;=Premissas!$D$7,Premissas!$B$7,IF(B25&lt;=Premissas!$D$8,Premissas!$B$8,IF(B25&lt;=Premissas!$D$9,Premissas!$B$9,Premissas!$B$10)))</f>
        <v>Corporativo</v>
      </c>
      <c r="D25" s="16" t="n">
        <f aca="false">Premissas!$E$7+MAX(0,MIN(B25,Premissas!$D$8)-Premissas!$D$7)*Premissas!$E$8+MAX(0,MIN(B25,Premissas!$D$9)-Premissas!$D$8)*Premissas!$E$9+MAX(0,B25-Premissas!$D$9)*Premissas!$E$10</f>
        <v>2081</v>
      </c>
      <c r="E25" s="16" t="n">
        <f aca="false">D25/B25</f>
        <v>10.405</v>
      </c>
      <c r="F25" s="16" t="n">
        <f aca="false">D25*12</f>
        <v>24972</v>
      </c>
    </row>
    <row r="26" customFormat="false" ht="15" hidden="false" customHeight="false" outlineLevel="0" collapsed="false">
      <c r="B26" s="17" t="n">
        <v>250</v>
      </c>
      <c r="C26" s="17" t="str">
        <f aca="false">IF(B26&lt;=Premissas!$D$7,Premissas!$B$7,IF(B26&lt;=Premissas!$D$8,Premissas!$B$8,IF(B26&lt;=Premissas!$D$9,Premissas!$B$9,Premissas!$B$10)))</f>
        <v>Corporativo</v>
      </c>
      <c r="D26" s="19" t="n">
        <f aca="false">Premissas!$E$7+MAX(0,MIN(B26,Premissas!$D$8)-Premissas!$D$7)*Premissas!$E$8+MAX(0,MIN(B26,Premissas!$D$9)-Premissas!$D$8)*Premissas!$E$9+MAX(0,B26-Premissas!$D$9)*Premissas!$E$10</f>
        <v>2676</v>
      </c>
      <c r="E26" s="19" t="n">
        <f aca="false">D26/B26</f>
        <v>10.704</v>
      </c>
      <c r="F26" s="19" t="n">
        <f aca="false">D26*12</f>
        <v>32112</v>
      </c>
    </row>
    <row r="27" customFormat="false" ht="15" hidden="false" customHeight="false" outlineLevel="0" collapsed="false">
      <c r="B27" s="15" t="n">
        <v>300</v>
      </c>
      <c r="C27" s="15" t="str">
        <f aca="false">IF(B27&lt;=Premissas!$D$7,Premissas!$B$7,IF(B27&lt;=Premissas!$D$8,Premissas!$B$8,IF(B27&lt;=Premissas!$D$9,Premissas!$B$9,Premissas!$B$10)))</f>
        <v>Corporativo</v>
      </c>
      <c r="D27" s="16" t="n">
        <f aca="false">Premissas!$E$7+MAX(0,MIN(B27,Premissas!$D$8)-Premissas!$D$7)*Premissas!$E$8+MAX(0,MIN(B27,Premissas!$D$9)-Premissas!$D$8)*Premissas!$E$9+MAX(0,B27-Premissas!$D$9)*Premissas!$E$10</f>
        <v>3271</v>
      </c>
      <c r="E27" s="16" t="n">
        <f aca="false">D27/B27</f>
        <v>10.9033333333333</v>
      </c>
      <c r="F27" s="16" t="n">
        <f aca="false">D27*12</f>
        <v>39252</v>
      </c>
    </row>
    <row r="28" customFormat="false" ht="15" hidden="false" customHeight="false" outlineLevel="0" collapsed="false">
      <c r="B28" s="17" t="n">
        <v>350</v>
      </c>
      <c r="C28" s="17" t="str">
        <f aca="false">IF(B28&lt;=Premissas!$D$7,Premissas!$B$7,IF(B28&lt;=Premissas!$D$8,Premissas!$B$8,IF(B28&lt;=Premissas!$D$9,Premissas!$B$9,Premissas!$B$10)))</f>
        <v>Corporativo</v>
      </c>
      <c r="D28" s="19" t="n">
        <f aca="false">Premissas!$E$7+MAX(0,MIN(B28,Premissas!$D$8)-Premissas!$D$7)*Premissas!$E$8+MAX(0,MIN(B28,Premissas!$D$9)-Premissas!$D$8)*Premissas!$E$9+MAX(0,B28-Premissas!$D$9)*Premissas!$E$10</f>
        <v>3866</v>
      </c>
      <c r="E28" s="19" t="n">
        <f aca="false">D28/B28</f>
        <v>11.0457142857143</v>
      </c>
      <c r="F28" s="19" t="n">
        <f aca="false">D28*12</f>
        <v>46392</v>
      </c>
    </row>
    <row r="29" customFormat="false" ht="15" hidden="false" customHeight="false" outlineLevel="0" collapsed="false">
      <c r="B29" s="15" t="n">
        <v>400</v>
      </c>
      <c r="C29" s="15" t="str">
        <f aca="false">IF(B29&lt;=Premissas!$D$7,Premissas!$B$7,IF(B29&lt;=Premissas!$D$8,Premissas!$B$8,IF(B29&lt;=Premissas!$D$9,Premissas!$B$9,Premissas!$B$10)))</f>
        <v>Corporativo</v>
      </c>
      <c r="D29" s="16" t="n">
        <f aca="false">Premissas!$E$7+MAX(0,MIN(B29,Premissas!$D$8)-Premissas!$D$7)*Premissas!$E$8+MAX(0,MIN(B29,Premissas!$D$9)-Premissas!$D$8)*Premissas!$E$9+MAX(0,B29-Premissas!$D$9)*Premissas!$E$10</f>
        <v>4461</v>
      </c>
      <c r="E29" s="16" t="n">
        <f aca="false">D29/B29</f>
        <v>11.1525</v>
      </c>
      <c r="F29" s="16" t="n">
        <f aca="false">D29*12</f>
        <v>53532</v>
      </c>
    </row>
    <row r="31" customFormat="false" ht="15" hidden="false" customHeight="true" outlineLevel="0" collapsed="false">
      <c r="B31" s="32" t="s">
        <v>64</v>
      </c>
      <c r="C31" s="32"/>
      <c r="D31" s="32"/>
      <c r="E31" s="32"/>
      <c r="F31" s="32"/>
    </row>
    <row r="32" customFormat="false" ht="15" hidden="false" customHeight="false" outlineLevel="0" collapsed="false">
      <c r="B32" s="32"/>
      <c r="C32" s="32"/>
      <c r="D32" s="32"/>
      <c r="E32" s="32"/>
      <c r="F32" s="32"/>
    </row>
    <row r="33" customFormat="false" ht="15" hidden="false" customHeight="false" outlineLevel="0" collapsed="false">
      <c r="B33" s="32"/>
      <c r="C33" s="32"/>
      <c r="D33" s="32"/>
      <c r="E33" s="32"/>
      <c r="F33" s="32"/>
    </row>
  </sheetData>
  <mergeCells count="1">
    <mergeCell ref="B31:F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2026-09-01T13:22:08Z</dcterms:created>
  <dc:creator>openpyxl</dc:creator>
  <dc:description/>
  <dc:language>en-US</dc:language>
  <cp:lastModifiedBy/>
  <dcterms:modified xsi:type="dcterms:W3CDTF">2026-09-01T13:22:08Z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