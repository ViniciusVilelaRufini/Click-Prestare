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Carteira" sheetId="2" state="visible" r:id="rId4"/>
    <sheet name="Comparativo" sheetId="3" state="visible" r:id="rId5"/>
    <sheet name="Cenári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<sst xmlns="http://schemas.openxmlformats.org/spreadsheetml/2006/main" count="67" uniqueCount="60">
  <si>
    <t xml:space="preserve">Prestare — Gestão · Premissas de preço</t>
  </si>
  <si>
    <t xml:space="preserve">Edite apenas as células em amarelo. Tudo o mais é fórmula.</t>
  </si>
  <si>
    <t xml:space="preserve">Plano</t>
  </si>
  <si>
    <t xml:space="preserve">Valor base / mês</t>
  </si>
  <si>
    <t xml:space="preserve">Valor por unidade / mês</t>
  </si>
  <si>
    <t xml:space="preserve">Taxa de implantação</t>
  </si>
  <si>
    <t xml:space="preserve">Essencial</t>
  </si>
  <si>
    <t xml:space="preserve">Profissional</t>
  </si>
  <si>
    <t xml:space="preserve">Elite</t>
  </si>
  <si>
    <t xml:space="preserve">Plano usado no cenário desta planilha:</t>
  </si>
  <si>
    <t xml:space="preserve">Fonte dos valores: tabela de preços informada pelo cliente (Vinicius / Prestare) em 26/08/2026.</t>
  </si>
  <si>
    <t xml:space="preserve">Fonte das unidades: lista de condomínios da carteira Prestare informada pelo cliente.</t>
  </si>
  <si>
    <t xml:space="preserve">Receita por condomínio — plano Profissional</t>
  </si>
  <si>
    <t xml:space="preserve">Mensalidade = valor base + (unidades × valor por unidade). Todas as células pretas são fórmulas.</t>
  </si>
  <si>
    <t xml:space="preserve">#</t>
  </si>
  <si>
    <t xml:space="preserve">Condomínio</t>
  </si>
  <si>
    <t xml:space="preserve">Unidades</t>
  </si>
  <si>
    <t xml:space="preserve">Mensalidade</t>
  </si>
  <si>
    <t xml:space="preserve">Custo por apto / mês</t>
  </si>
  <si>
    <t xml:space="preserve">Implantação</t>
  </si>
  <si>
    <t xml:space="preserve">1º mês</t>
  </si>
  <si>
    <t xml:space="preserve">Receita 12 meses</t>
  </si>
  <si>
    <t xml:space="preserve">Damha</t>
  </si>
  <si>
    <t xml:space="preserve">Ideal Life</t>
  </si>
  <si>
    <t xml:space="preserve">Duarte Nogueira</t>
  </si>
  <si>
    <t xml:space="preserve">Jardim Alvorada</t>
  </si>
  <si>
    <t xml:space="preserve">Casa Pienza</t>
  </si>
  <si>
    <t xml:space="preserve">Solar dos Ipês</t>
  </si>
  <si>
    <t xml:space="preserve">Moreschi</t>
  </si>
  <si>
    <t xml:space="preserve">Rio Negro</t>
  </si>
  <si>
    <t xml:space="preserve">Santa Andélia</t>
  </si>
  <si>
    <t xml:space="preserve">Veredas do Sol</t>
  </si>
  <si>
    <t xml:space="preserve">Grão Pará</t>
  </si>
  <si>
    <t xml:space="preserve">Santos Dumont</t>
  </si>
  <si>
    <t xml:space="preserve">Santorini</t>
  </si>
  <si>
    <t xml:space="preserve">Santa Josefa</t>
  </si>
  <si>
    <t xml:space="preserve">Porto Seguro</t>
  </si>
  <si>
    <t xml:space="preserve">TOTAL DA CARTEIRA</t>
  </si>
  <si>
    <t xml:space="preserve">Média por condomínio</t>
  </si>
  <si>
    <t xml:space="preserve">Média de unidades por condomínio</t>
  </si>
  <si>
    <t xml:space="preserve">Mensalidade por condomínio nos três planos</t>
  </si>
  <si>
    <t xml:space="preserve">Serve para decidir onde subir para Elite e onde o Essencial faz mais sentido.</t>
  </si>
  <si>
    <t xml:space="preserve">Essencial / apto</t>
  </si>
  <si>
    <t xml:space="preserve">Profissional / apto</t>
  </si>
  <si>
    <t xml:space="preserve">Elite / apto</t>
  </si>
  <si>
    <t xml:space="preserve">TOTAL</t>
  </si>
  <si>
    <t xml:space="preserve">Quanto entra conforme a taxa de adesão da carteira</t>
  </si>
  <si>
    <t xml:space="preserve">Base: 15 condomínios, plano Profissional. Ajuste o percentual em amarelo.</t>
  </si>
  <si>
    <t xml:space="preserve">Cenário</t>
  </si>
  <si>
    <t xml:space="preserve">% da carteira que adere</t>
  </si>
  <si>
    <t xml:space="preserve">Condomínios</t>
  </si>
  <si>
    <t xml:space="preserve">MRR</t>
  </si>
  <si>
    <t xml:space="preserve">Implantação (única)</t>
  </si>
  <si>
    <t xml:space="preserve">Total ano 1</t>
  </si>
  <si>
    <t xml:space="preserve">Pessimista</t>
  </si>
  <si>
    <t xml:space="preserve">Conservador</t>
  </si>
  <si>
    <t xml:space="preserve">Provável</t>
  </si>
  <si>
    <t xml:space="preserve">Carteira inteira</t>
  </si>
  <si>
    <t xml:space="preserve">Observação</t>
  </si>
  <si>
    <t xml:space="preserve">Os 6 condomínios com 24 unidades ou menos custam mais de R$ 15 por apartamento/mês no Profissional, contra R$ 3,76 no Damha. Nesses casos, o Essencial (ou um piso de mensalidade) tende a ser a venda possível — a mensalidade cheia dificilmente passa na assembleia.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</si>
</sst>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General"/>
    <numFmt numFmtId="167" formatCode="#,##0.0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A63"/>
      <name val="Arial"/>
      <family val="0"/>
      <charset val="1"/>
    </font>
    <font>
      <i val="true"/>
      <sz val="10"/>
      <color rgb="FF5C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5C6E8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B2A6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5C6E8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2A6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5FC"/>
        <bgColor rgb="FFE8F0FF"/>
      </patternFill>
    </fill>
    <fill>
      <patternFill patternType="solid">
        <fgColor rgb="FFFFC800"/>
        <bgColor rgb="FFFF9900"/>
      </patternFill>
    </fill>
    <fill>
      <patternFill patternType="solid">
        <fgColor rgb="FF1D4ED8"/>
        <bgColor rgb="FF3366FF"/>
      </patternFill>
    </fill>
    <fill>
      <patternFill patternType="solid">
        <fgColor rgb="FFE8F0FF"/>
        <bgColor rgb="FFF2F5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C"/>
      <rgbColor rgb="FFE8F0FF"/>
      <rgbColor rgb="FF660066"/>
      <rgbColor rgb="FFFF8080"/>
      <rgbColor rgb="FF1D4ED8"/>
      <rgbColor rgb="FFD6DE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800"/>
      <rgbColor rgb="FFFF9900"/>
      <rgbColor rgb="FFFF6600"/>
      <rgbColor rgb="FF5C6E8C"/>
      <rgbColor rgb="FF969696"/>
      <rgbColor rgb="FF0B2A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2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15" hidden="false" customHeight="false" outlineLevel="0" collapsed="false">
      <c r="B6" s="4" t="s">
        <v>6</v>
      </c>
      <c r="C6" s="5" t="n">
        <v>149</v>
      </c>
      <c r="D6" s="5" t="n">
        <v>2</v>
      </c>
      <c r="E6" s="5" t="n">
        <v>290</v>
      </c>
    </row>
    <row r="7" customFormat="false" ht="15" hidden="false" customHeight="false" outlineLevel="0" collapsed="false">
      <c r="B7" s="4" t="s">
        <v>7</v>
      </c>
      <c r="C7" s="5" t="n">
        <v>297</v>
      </c>
      <c r="D7" s="5" t="n">
        <v>2.8</v>
      </c>
      <c r="E7" s="5" t="n">
        <v>490</v>
      </c>
    </row>
    <row r="8" customFormat="false" ht="15" hidden="false" customHeight="false" outlineLevel="0" collapsed="false">
      <c r="B8" s="4" t="s">
        <v>8</v>
      </c>
      <c r="C8" s="5" t="n">
        <v>497</v>
      </c>
      <c r="D8" s="5" t="n">
        <v>3.8</v>
      </c>
      <c r="E8" s="5" t="n">
        <v>790</v>
      </c>
    </row>
    <row r="10" customFormat="false" ht="15" hidden="false" customHeight="false" outlineLevel="0" collapsed="false">
      <c r="B10" s="4" t="s">
        <v>9</v>
      </c>
      <c r="D10" s="6" t="s">
        <v>7</v>
      </c>
    </row>
    <row r="12" customFormat="false" ht="15" hidden="false" customHeight="false" outlineLevel="0" collapsed="false">
      <c r="B12" s="7" t="s">
        <v>10</v>
      </c>
    </row>
    <row r="13" customFormat="false" ht="15" hidden="false" customHeight="false" outlineLevel="0" collapsed="false">
      <c r="B1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7"/>
  </cols>
  <sheetData>
    <row r="2" customFormat="false" ht="18.55" hidden="false" customHeight="false" outlineLevel="0" collapsed="false">
      <c r="B2" s="1" t="s">
        <v>12</v>
      </c>
    </row>
    <row r="3" customFormat="false" ht="15" hidden="false" customHeight="false" outlineLevel="0" collapsed="false">
      <c r="B3" s="2" t="s">
        <v>13</v>
      </c>
    </row>
    <row r="5" customFormat="false" ht="31.5" hidden="false" customHeight="true" outlineLevel="0" collapsed="false"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</row>
    <row r="6" customFormat="false" ht="15" hidden="false" customHeight="false" outlineLevel="0" collapsed="false">
      <c r="B6" s="8" t="n">
        <v>1</v>
      </c>
      <c r="C6" s="9" t="s">
        <v>22</v>
      </c>
      <c r="D6" s="10" t="n">
        <v>308</v>
      </c>
      <c r="E6" s="11" t="n">
        <f aca="false">Premissas!$C$7+D6*Premissas!$D$7</f>
        <v>1159.4</v>
      </c>
      <c r="F6" s="11" t="n">
        <f aca="false">E6/D6</f>
        <v>3.76428571428571</v>
      </c>
      <c r="G6" s="11" t="n">
        <f aca="false">Premissas!$E$7</f>
        <v>490</v>
      </c>
      <c r="H6" s="11" t="n">
        <f aca="false">E6+G6</f>
        <v>1649.4</v>
      </c>
      <c r="I6" s="11" t="n">
        <f aca="false">E6*12</f>
        <v>13912.8</v>
      </c>
    </row>
    <row r="7" customFormat="false" ht="15" hidden="false" customHeight="false" outlineLevel="0" collapsed="false">
      <c r="B7" s="12" t="n">
        <v>2</v>
      </c>
      <c r="C7" s="13" t="s">
        <v>23</v>
      </c>
      <c r="D7" s="10" t="n">
        <v>200</v>
      </c>
      <c r="E7" s="14" t="n">
        <f aca="false">Premissas!$C$7+D7*Premissas!$D$7</f>
        <v>857</v>
      </c>
      <c r="F7" s="14" t="n">
        <f aca="false">E7/D7</f>
        <v>4.285</v>
      </c>
      <c r="G7" s="14" t="n">
        <f aca="false">Premissas!$E$7</f>
        <v>490</v>
      </c>
      <c r="H7" s="14" t="n">
        <f aca="false">E7+G7</f>
        <v>1347</v>
      </c>
      <c r="I7" s="14" t="n">
        <f aca="false">E7*12</f>
        <v>10284</v>
      </c>
    </row>
    <row r="8" customFormat="false" ht="15" hidden="false" customHeight="false" outlineLevel="0" collapsed="false">
      <c r="B8" s="8" t="n">
        <v>3</v>
      </c>
      <c r="C8" s="9" t="s">
        <v>24</v>
      </c>
      <c r="D8" s="10" t="n">
        <v>160</v>
      </c>
      <c r="E8" s="11" t="n">
        <f aca="false">Premissas!$C$7+D8*Premissas!$D$7</f>
        <v>745</v>
      </c>
      <c r="F8" s="11" t="n">
        <f aca="false">E8/D8</f>
        <v>4.65625</v>
      </c>
      <c r="G8" s="11" t="n">
        <f aca="false">Premissas!$E$7</f>
        <v>490</v>
      </c>
      <c r="H8" s="11" t="n">
        <f aca="false">E8+G8</f>
        <v>1235</v>
      </c>
      <c r="I8" s="11" t="n">
        <f aca="false">E8*12</f>
        <v>8940</v>
      </c>
    </row>
    <row r="9" customFormat="false" ht="15" hidden="false" customHeight="false" outlineLevel="0" collapsed="false">
      <c r="B9" s="12" t="n">
        <v>4</v>
      </c>
      <c r="C9" s="13" t="s">
        <v>25</v>
      </c>
      <c r="D9" s="10" t="n">
        <v>120</v>
      </c>
      <c r="E9" s="14" t="n">
        <f aca="false">Premissas!$C$7+D9*Premissas!$D$7</f>
        <v>633</v>
      </c>
      <c r="F9" s="14" t="n">
        <f aca="false">E9/D9</f>
        <v>5.275</v>
      </c>
      <c r="G9" s="14" t="n">
        <f aca="false">Premissas!$E$7</f>
        <v>490</v>
      </c>
      <c r="H9" s="14" t="n">
        <f aca="false">E9+G9</f>
        <v>1123</v>
      </c>
      <c r="I9" s="14" t="n">
        <f aca="false">E9*12</f>
        <v>7596</v>
      </c>
    </row>
    <row r="10" customFormat="false" ht="15" hidden="false" customHeight="false" outlineLevel="0" collapsed="false">
      <c r="B10" s="8" t="n">
        <v>5</v>
      </c>
      <c r="C10" s="9" t="s">
        <v>26</v>
      </c>
      <c r="D10" s="10" t="n">
        <v>112</v>
      </c>
      <c r="E10" s="11" t="n">
        <f aca="false">Premissas!$C$7+D10*Premissas!$D$7</f>
        <v>610.6</v>
      </c>
      <c r="F10" s="11" t="n">
        <f aca="false">E10/D10</f>
        <v>5.45178571428571</v>
      </c>
      <c r="G10" s="11" t="n">
        <f aca="false">Premissas!$E$7</f>
        <v>490</v>
      </c>
      <c r="H10" s="11" t="n">
        <f aca="false">E10+G10</f>
        <v>1100.6</v>
      </c>
      <c r="I10" s="11" t="n">
        <f aca="false">E10*12</f>
        <v>7327.2</v>
      </c>
    </row>
    <row r="11" customFormat="false" ht="15" hidden="false" customHeight="false" outlineLevel="0" collapsed="false">
      <c r="B11" s="12" t="n">
        <v>6</v>
      </c>
      <c r="C11" s="13" t="s">
        <v>27</v>
      </c>
      <c r="D11" s="10" t="n">
        <v>64</v>
      </c>
      <c r="E11" s="14" t="n">
        <f aca="false">Premissas!$C$7+D11*Premissas!$D$7</f>
        <v>476.2</v>
      </c>
      <c r="F11" s="14" t="n">
        <f aca="false">E11/D11</f>
        <v>7.440625</v>
      </c>
      <c r="G11" s="14" t="n">
        <f aca="false">Premissas!$E$7</f>
        <v>490</v>
      </c>
      <c r="H11" s="14" t="n">
        <f aca="false">E11+G11</f>
        <v>966.2</v>
      </c>
      <c r="I11" s="14" t="n">
        <f aca="false">E11*12</f>
        <v>5714.4</v>
      </c>
    </row>
    <row r="12" customFormat="false" ht="15" hidden="false" customHeight="false" outlineLevel="0" collapsed="false">
      <c r="B12" s="8" t="n">
        <v>7</v>
      </c>
      <c r="C12" s="9" t="s">
        <v>28</v>
      </c>
      <c r="D12" s="10" t="n">
        <v>24</v>
      </c>
      <c r="E12" s="11" t="n">
        <f aca="false">Premissas!$C$7+D12*Premissas!$D$7</f>
        <v>364.2</v>
      </c>
      <c r="F12" s="11" t="n">
        <f aca="false">E12/D12</f>
        <v>15.175</v>
      </c>
      <c r="G12" s="11" t="n">
        <f aca="false">Premissas!$E$7</f>
        <v>490</v>
      </c>
      <c r="H12" s="11" t="n">
        <f aca="false">E12+G12</f>
        <v>854.2</v>
      </c>
      <c r="I12" s="11" t="n">
        <f aca="false">E12*12</f>
        <v>4370.4</v>
      </c>
    </row>
    <row r="13" customFormat="false" ht="15" hidden="false" customHeight="false" outlineLevel="0" collapsed="false">
      <c r="B13" s="12" t="n">
        <v>8</v>
      </c>
      <c r="C13" s="13" t="s">
        <v>29</v>
      </c>
      <c r="D13" s="10" t="n">
        <v>24</v>
      </c>
      <c r="E13" s="14" t="n">
        <f aca="false">Premissas!$C$7+D13*Premissas!$D$7</f>
        <v>364.2</v>
      </c>
      <c r="F13" s="14" t="n">
        <f aca="false">E13/D13</f>
        <v>15.175</v>
      </c>
      <c r="G13" s="14" t="n">
        <f aca="false">Premissas!$E$7</f>
        <v>490</v>
      </c>
      <c r="H13" s="14" t="n">
        <f aca="false">E13+G13</f>
        <v>854.2</v>
      </c>
      <c r="I13" s="14" t="n">
        <f aca="false">E13*12</f>
        <v>4370.4</v>
      </c>
    </row>
    <row r="14" customFormat="false" ht="15" hidden="false" customHeight="false" outlineLevel="0" collapsed="false">
      <c r="B14" s="8" t="n">
        <v>9</v>
      </c>
      <c r="C14" s="9" t="s">
        <v>30</v>
      </c>
      <c r="D14" s="10" t="n">
        <v>24</v>
      </c>
      <c r="E14" s="11" t="n">
        <f aca="false">Premissas!$C$7+D14*Premissas!$D$7</f>
        <v>364.2</v>
      </c>
      <c r="F14" s="11" t="n">
        <f aca="false">E14/D14</f>
        <v>15.175</v>
      </c>
      <c r="G14" s="11" t="n">
        <f aca="false">Premissas!$E$7</f>
        <v>490</v>
      </c>
      <c r="H14" s="11" t="n">
        <f aca="false">E14+G14</f>
        <v>854.2</v>
      </c>
      <c r="I14" s="11" t="n">
        <f aca="false">E14*12</f>
        <v>4370.4</v>
      </c>
    </row>
    <row r="15" customFormat="false" ht="15" hidden="false" customHeight="false" outlineLevel="0" collapsed="false">
      <c r="B15" s="12" t="n">
        <v>10</v>
      </c>
      <c r="C15" s="13" t="s">
        <v>31</v>
      </c>
      <c r="D15" s="10" t="n">
        <v>22</v>
      </c>
      <c r="E15" s="14" t="n">
        <f aca="false">Premissas!$C$7+D15*Premissas!$D$7</f>
        <v>358.6</v>
      </c>
      <c r="F15" s="14" t="n">
        <f aca="false">E15/D15</f>
        <v>16.3</v>
      </c>
      <c r="G15" s="14" t="n">
        <f aca="false">Premissas!$E$7</f>
        <v>490</v>
      </c>
      <c r="H15" s="14" t="n">
        <f aca="false">E15+G15</f>
        <v>848.6</v>
      </c>
      <c r="I15" s="14" t="n">
        <f aca="false">E15*12</f>
        <v>4303.2</v>
      </c>
    </row>
    <row r="16" customFormat="false" ht="15" hidden="false" customHeight="false" outlineLevel="0" collapsed="false">
      <c r="B16" s="8" t="n">
        <v>11</v>
      </c>
      <c r="C16" s="9" t="s">
        <v>32</v>
      </c>
      <c r="D16" s="10" t="n">
        <v>20</v>
      </c>
      <c r="E16" s="11" t="n">
        <f aca="false">Premissas!$C$7+D16*Premissas!$D$7</f>
        <v>353</v>
      </c>
      <c r="F16" s="11" t="n">
        <f aca="false">E16/D16</f>
        <v>17.65</v>
      </c>
      <c r="G16" s="11" t="n">
        <f aca="false">Premissas!$E$7</f>
        <v>490</v>
      </c>
      <c r="H16" s="11" t="n">
        <f aca="false">E16+G16</f>
        <v>843</v>
      </c>
      <c r="I16" s="11" t="n">
        <f aca="false">E16*12</f>
        <v>4236</v>
      </c>
    </row>
    <row r="17" customFormat="false" ht="15" hidden="false" customHeight="false" outlineLevel="0" collapsed="false">
      <c r="B17" s="12" t="n">
        <v>12</v>
      </c>
      <c r="C17" s="13" t="s">
        <v>33</v>
      </c>
      <c r="D17" s="10" t="n">
        <v>20</v>
      </c>
      <c r="E17" s="14" t="n">
        <f aca="false">Premissas!$C$7+D17*Premissas!$D$7</f>
        <v>353</v>
      </c>
      <c r="F17" s="14" t="n">
        <f aca="false">E17/D17</f>
        <v>17.65</v>
      </c>
      <c r="G17" s="14" t="n">
        <f aca="false">Premissas!$E$7</f>
        <v>490</v>
      </c>
      <c r="H17" s="14" t="n">
        <f aca="false">E17+G17</f>
        <v>843</v>
      </c>
      <c r="I17" s="14" t="n">
        <f aca="false">E17*12</f>
        <v>4236</v>
      </c>
    </row>
    <row r="18" customFormat="false" ht="15" hidden="false" customHeight="false" outlineLevel="0" collapsed="false">
      <c r="B18" s="8" t="n">
        <v>13</v>
      </c>
      <c r="C18" s="9" t="s">
        <v>34</v>
      </c>
      <c r="D18" s="10" t="n">
        <v>16</v>
      </c>
      <c r="E18" s="11" t="n">
        <f aca="false">Premissas!$C$7+D18*Premissas!$D$7</f>
        <v>341.8</v>
      </c>
      <c r="F18" s="11" t="n">
        <f aca="false">E18/D18</f>
        <v>21.3625</v>
      </c>
      <c r="G18" s="11" t="n">
        <f aca="false">Premissas!$E$7</f>
        <v>490</v>
      </c>
      <c r="H18" s="11" t="n">
        <f aca="false">E18+G18</f>
        <v>831.8</v>
      </c>
      <c r="I18" s="11" t="n">
        <f aca="false">E18*12</f>
        <v>4101.6</v>
      </c>
    </row>
    <row r="19" customFormat="false" ht="15" hidden="false" customHeight="false" outlineLevel="0" collapsed="false">
      <c r="B19" s="12" t="n">
        <v>14</v>
      </c>
      <c r="C19" s="13" t="s">
        <v>35</v>
      </c>
      <c r="D19" s="10" t="n">
        <v>15</v>
      </c>
      <c r="E19" s="14" t="n">
        <f aca="false">Premissas!$C$7+D19*Premissas!$D$7</f>
        <v>339</v>
      </c>
      <c r="F19" s="14" t="n">
        <f aca="false">E19/D19</f>
        <v>22.6</v>
      </c>
      <c r="G19" s="14" t="n">
        <f aca="false">Premissas!$E$7</f>
        <v>490</v>
      </c>
      <c r="H19" s="14" t="n">
        <f aca="false">E19+G19</f>
        <v>829</v>
      </c>
      <c r="I19" s="14" t="n">
        <f aca="false">E19*12</f>
        <v>4068</v>
      </c>
    </row>
    <row r="20" customFormat="false" ht="15" hidden="false" customHeight="false" outlineLevel="0" collapsed="false">
      <c r="B20" s="8" t="n">
        <v>15</v>
      </c>
      <c r="C20" s="9" t="s">
        <v>36</v>
      </c>
      <c r="D20" s="10" t="n">
        <v>12</v>
      </c>
      <c r="E20" s="11" t="n">
        <f aca="false">Premissas!$C$7+D20*Premissas!$D$7</f>
        <v>330.6</v>
      </c>
      <c r="F20" s="11" t="n">
        <f aca="false">E20/D20</f>
        <v>27.55</v>
      </c>
      <c r="G20" s="11" t="n">
        <f aca="false">Premissas!$E$7</f>
        <v>490</v>
      </c>
      <c r="H20" s="11" t="n">
        <f aca="false">E20+G20</f>
        <v>820.6</v>
      </c>
      <c r="I20" s="11" t="n">
        <f aca="false">E20*12</f>
        <v>3967.2</v>
      </c>
    </row>
    <row r="21" customFormat="false" ht="15" hidden="false" customHeight="false" outlineLevel="0" collapsed="false">
      <c r="B21" s="15"/>
      <c r="C21" s="15" t="s">
        <v>37</v>
      </c>
      <c r="D21" s="16" t="n">
        <f aca="false">SUM(D6:D20)</f>
        <v>1141</v>
      </c>
      <c r="E21" s="17" t="n">
        <f aca="false">SUM(E6:E20)</f>
        <v>7649.8</v>
      </c>
      <c r="F21" s="17" t="n">
        <f aca="false">E21/D21</f>
        <v>6.70446976336547</v>
      </c>
      <c r="G21" s="17" t="n">
        <f aca="false">SUM(G6:G20)</f>
        <v>7350</v>
      </c>
      <c r="H21" s="17" t="n">
        <f aca="false">SUM(H6:H20)</f>
        <v>14999.8</v>
      </c>
      <c r="I21" s="17" t="n">
        <f aca="false">SUM(I6:I20)</f>
        <v>91797.6</v>
      </c>
    </row>
    <row r="23" customFormat="false" ht="15" hidden="false" customHeight="false" outlineLevel="0" collapsed="false">
      <c r="C23" s="2" t="s">
        <v>38</v>
      </c>
      <c r="E23" s="18" t="n">
        <f aca="false">E21/15</f>
        <v>509.986666666667</v>
      </c>
    </row>
    <row r="24" customFormat="false" ht="15" hidden="false" customHeight="false" outlineLevel="0" collapsed="false">
      <c r="C24" s="2" t="s">
        <v>39</v>
      </c>
      <c r="E24" s="19" t="n">
        <f aca="false">D21/15</f>
        <v>76.0666666666667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19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" t="s">
        <v>40</v>
      </c>
    </row>
    <row r="3" customFormat="false" ht="15" hidden="false" customHeight="false" outlineLevel="0" collapsed="false">
      <c r="B3" s="2" t="s">
        <v>41</v>
      </c>
    </row>
    <row r="5" customFormat="false" ht="31.5" hidden="false" customHeight="true" outlineLevel="0" collapsed="false">
      <c r="B5" s="3" t="s">
        <v>15</v>
      </c>
      <c r="C5" s="3" t="s">
        <v>16</v>
      </c>
      <c r="D5" s="3" t="s">
        <v>6</v>
      </c>
      <c r="E5" s="3" t="s">
        <v>7</v>
      </c>
      <c r="F5" s="3" t="s">
        <v>8</v>
      </c>
      <c r="G5" s="20" t="s">
        <v>42</v>
      </c>
      <c r="H5" s="20" t="s">
        <v>43</v>
      </c>
      <c r="I5" s="20" t="s">
        <v>44</v>
      </c>
    </row>
    <row r="6" customFormat="false" ht="15" hidden="false" customHeight="false" outlineLevel="0" collapsed="false">
      <c r="B6" s="9" t="str">
        <f aca="false">Carteira!C6</f>
        <v>Damha</v>
      </c>
      <c r="C6" s="8" t="n">
        <f aca="false">Carteira!D6</f>
        <v>308</v>
      </c>
      <c r="D6" s="11" t="n">
        <f aca="false">Premissas!$C$6+$C6*Premissas!$D$6</f>
        <v>765</v>
      </c>
      <c r="E6" s="11" t="n">
        <f aca="false">Premissas!$C$7+$C6*Premissas!$D$7</f>
        <v>1159.4</v>
      </c>
      <c r="F6" s="11" t="n">
        <f aca="false">Premissas!$C$8+$C6*Premissas!$D$8</f>
        <v>1667.4</v>
      </c>
      <c r="G6" s="11" t="n">
        <f aca="false">D6/$C6</f>
        <v>2.48376623376623</v>
      </c>
      <c r="H6" s="11" t="n">
        <f aca="false">E6/$C6</f>
        <v>3.76428571428571</v>
      </c>
      <c r="I6" s="11" t="n">
        <f aca="false">F6/$C6</f>
        <v>5.41363636363636</v>
      </c>
    </row>
    <row r="7" customFormat="false" ht="15" hidden="false" customHeight="false" outlineLevel="0" collapsed="false">
      <c r="B7" s="13" t="str">
        <f aca="false">Carteira!C7</f>
        <v>Ideal Life</v>
      </c>
      <c r="C7" s="12" t="n">
        <f aca="false">Carteira!D7</f>
        <v>200</v>
      </c>
      <c r="D7" s="14" t="n">
        <f aca="false">Premissas!$C$6+$C7*Premissas!$D$6</f>
        <v>549</v>
      </c>
      <c r="E7" s="14" t="n">
        <f aca="false">Premissas!$C$7+$C7*Premissas!$D$7</f>
        <v>857</v>
      </c>
      <c r="F7" s="14" t="n">
        <f aca="false">Premissas!$C$8+$C7*Premissas!$D$8</f>
        <v>1257</v>
      </c>
      <c r="G7" s="14" t="n">
        <f aca="false">D7/$C7</f>
        <v>2.745</v>
      </c>
      <c r="H7" s="14" t="n">
        <f aca="false">E7/$C7</f>
        <v>4.285</v>
      </c>
      <c r="I7" s="14" t="n">
        <f aca="false">F7/$C7</f>
        <v>6.285</v>
      </c>
    </row>
    <row r="8" customFormat="false" ht="15" hidden="false" customHeight="false" outlineLevel="0" collapsed="false">
      <c r="B8" s="9" t="str">
        <f aca="false">Carteira!C8</f>
        <v>Duarte Nogueira</v>
      </c>
      <c r="C8" s="8" t="n">
        <f aca="false">Carteira!D8</f>
        <v>160</v>
      </c>
      <c r="D8" s="11" t="n">
        <f aca="false">Premissas!$C$6+$C8*Premissas!$D$6</f>
        <v>469</v>
      </c>
      <c r="E8" s="11" t="n">
        <f aca="false">Premissas!$C$7+$C8*Premissas!$D$7</f>
        <v>745</v>
      </c>
      <c r="F8" s="11" t="n">
        <f aca="false">Premissas!$C$8+$C8*Premissas!$D$8</f>
        <v>1105</v>
      </c>
      <c r="G8" s="11" t="n">
        <f aca="false">D8/$C8</f>
        <v>2.93125</v>
      </c>
      <c r="H8" s="11" t="n">
        <f aca="false">E8/$C8</f>
        <v>4.65625</v>
      </c>
      <c r="I8" s="11" t="n">
        <f aca="false">F8/$C8</f>
        <v>6.90625</v>
      </c>
    </row>
    <row r="9" customFormat="false" ht="15" hidden="false" customHeight="false" outlineLevel="0" collapsed="false">
      <c r="B9" s="13" t="str">
        <f aca="false">Carteira!C9</f>
        <v>Jardim Alvorada</v>
      </c>
      <c r="C9" s="12" t="n">
        <f aca="false">Carteira!D9</f>
        <v>120</v>
      </c>
      <c r="D9" s="14" t="n">
        <f aca="false">Premissas!$C$6+$C9*Premissas!$D$6</f>
        <v>389</v>
      </c>
      <c r="E9" s="14" t="n">
        <f aca="false">Premissas!$C$7+$C9*Premissas!$D$7</f>
        <v>633</v>
      </c>
      <c r="F9" s="14" t="n">
        <f aca="false">Premissas!$C$8+$C9*Premissas!$D$8</f>
        <v>953</v>
      </c>
      <c r="G9" s="14" t="n">
        <f aca="false">D9/$C9</f>
        <v>3.24166666666667</v>
      </c>
      <c r="H9" s="14" t="n">
        <f aca="false">E9/$C9</f>
        <v>5.275</v>
      </c>
      <c r="I9" s="14" t="n">
        <f aca="false">F9/$C9</f>
        <v>7.94166666666667</v>
      </c>
    </row>
    <row r="10" customFormat="false" ht="15" hidden="false" customHeight="false" outlineLevel="0" collapsed="false">
      <c r="B10" s="9" t="str">
        <f aca="false">Carteira!C10</f>
        <v>Casa Pienza</v>
      </c>
      <c r="C10" s="8" t="n">
        <f aca="false">Carteira!D10</f>
        <v>112</v>
      </c>
      <c r="D10" s="11" t="n">
        <f aca="false">Premissas!$C$6+$C10*Premissas!$D$6</f>
        <v>373</v>
      </c>
      <c r="E10" s="11" t="n">
        <f aca="false">Premissas!$C$7+$C10*Premissas!$D$7</f>
        <v>610.6</v>
      </c>
      <c r="F10" s="11" t="n">
        <f aca="false">Premissas!$C$8+$C10*Premissas!$D$8</f>
        <v>922.6</v>
      </c>
      <c r="G10" s="11" t="n">
        <f aca="false">D10/$C10</f>
        <v>3.33035714285714</v>
      </c>
      <c r="H10" s="11" t="n">
        <f aca="false">E10/$C10</f>
        <v>5.45178571428571</v>
      </c>
      <c r="I10" s="11" t="n">
        <f aca="false">F10/$C10</f>
        <v>8.2375</v>
      </c>
    </row>
    <row r="11" customFormat="false" ht="15" hidden="false" customHeight="false" outlineLevel="0" collapsed="false">
      <c r="B11" s="13" t="str">
        <f aca="false">Carteira!C11</f>
        <v>Solar dos Ipês</v>
      </c>
      <c r="C11" s="12" t="n">
        <f aca="false">Carteira!D11</f>
        <v>64</v>
      </c>
      <c r="D11" s="14" t="n">
        <f aca="false">Premissas!$C$6+$C11*Premissas!$D$6</f>
        <v>277</v>
      </c>
      <c r="E11" s="14" t="n">
        <f aca="false">Premissas!$C$7+$C11*Premissas!$D$7</f>
        <v>476.2</v>
      </c>
      <c r="F11" s="14" t="n">
        <f aca="false">Premissas!$C$8+$C11*Premissas!$D$8</f>
        <v>740.2</v>
      </c>
      <c r="G11" s="14" t="n">
        <f aca="false">D11/$C11</f>
        <v>4.328125</v>
      </c>
      <c r="H11" s="14" t="n">
        <f aca="false">E11/$C11</f>
        <v>7.440625</v>
      </c>
      <c r="I11" s="14" t="n">
        <f aca="false">F11/$C11</f>
        <v>11.565625</v>
      </c>
    </row>
    <row r="12" customFormat="false" ht="15" hidden="false" customHeight="false" outlineLevel="0" collapsed="false">
      <c r="B12" s="9" t="str">
        <f aca="false">Carteira!C12</f>
        <v>Moreschi</v>
      </c>
      <c r="C12" s="8" t="n">
        <f aca="false">Carteira!D12</f>
        <v>24</v>
      </c>
      <c r="D12" s="11" t="n">
        <f aca="false">Premissas!$C$6+$C12*Premissas!$D$6</f>
        <v>197</v>
      </c>
      <c r="E12" s="11" t="n">
        <f aca="false">Premissas!$C$7+$C12*Premissas!$D$7</f>
        <v>364.2</v>
      </c>
      <c r="F12" s="11" t="n">
        <f aca="false">Premissas!$C$8+$C12*Premissas!$D$8</f>
        <v>588.2</v>
      </c>
      <c r="G12" s="11" t="n">
        <f aca="false">D12/$C12</f>
        <v>8.20833333333333</v>
      </c>
      <c r="H12" s="11" t="n">
        <f aca="false">E12/$C12</f>
        <v>15.175</v>
      </c>
      <c r="I12" s="11" t="n">
        <f aca="false">F12/$C12</f>
        <v>24.5083333333333</v>
      </c>
    </row>
    <row r="13" customFormat="false" ht="15" hidden="false" customHeight="false" outlineLevel="0" collapsed="false">
      <c r="B13" s="13" t="str">
        <f aca="false">Carteira!C13</f>
        <v>Rio Negro</v>
      </c>
      <c r="C13" s="12" t="n">
        <f aca="false">Carteira!D13</f>
        <v>24</v>
      </c>
      <c r="D13" s="14" t="n">
        <f aca="false">Premissas!$C$6+$C13*Premissas!$D$6</f>
        <v>197</v>
      </c>
      <c r="E13" s="14" t="n">
        <f aca="false">Premissas!$C$7+$C13*Premissas!$D$7</f>
        <v>364.2</v>
      </c>
      <c r="F13" s="14" t="n">
        <f aca="false">Premissas!$C$8+$C13*Premissas!$D$8</f>
        <v>588.2</v>
      </c>
      <c r="G13" s="14" t="n">
        <f aca="false">D13/$C13</f>
        <v>8.20833333333333</v>
      </c>
      <c r="H13" s="14" t="n">
        <f aca="false">E13/$C13</f>
        <v>15.175</v>
      </c>
      <c r="I13" s="14" t="n">
        <f aca="false">F13/$C13</f>
        <v>24.5083333333333</v>
      </c>
    </row>
    <row r="14" customFormat="false" ht="15" hidden="false" customHeight="false" outlineLevel="0" collapsed="false">
      <c r="B14" s="9" t="str">
        <f aca="false">Carteira!C14</f>
        <v>Santa Andélia</v>
      </c>
      <c r="C14" s="8" t="n">
        <f aca="false">Carteira!D14</f>
        <v>24</v>
      </c>
      <c r="D14" s="11" t="n">
        <f aca="false">Premissas!$C$6+$C14*Premissas!$D$6</f>
        <v>197</v>
      </c>
      <c r="E14" s="11" t="n">
        <f aca="false">Premissas!$C$7+$C14*Premissas!$D$7</f>
        <v>364.2</v>
      </c>
      <c r="F14" s="11" t="n">
        <f aca="false">Premissas!$C$8+$C14*Premissas!$D$8</f>
        <v>588.2</v>
      </c>
      <c r="G14" s="11" t="n">
        <f aca="false">D14/$C14</f>
        <v>8.20833333333333</v>
      </c>
      <c r="H14" s="11" t="n">
        <f aca="false">E14/$C14</f>
        <v>15.175</v>
      </c>
      <c r="I14" s="11" t="n">
        <f aca="false">F14/$C14</f>
        <v>24.5083333333333</v>
      </c>
    </row>
    <row r="15" customFormat="false" ht="15" hidden="false" customHeight="false" outlineLevel="0" collapsed="false">
      <c r="B15" s="13" t="str">
        <f aca="false">Carteira!C15</f>
        <v>Veredas do Sol</v>
      </c>
      <c r="C15" s="12" t="n">
        <f aca="false">Carteira!D15</f>
        <v>22</v>
      </c>
      <c r="D15" s="14" t="n">
        <f aca="false">Premissas!$C$6+$C15*Premissas!$D$6</f>
        <v>193</v>
      </c>
      <c r="E15" s="14" t="n">
        <f aca="false">Premissas!$C$7+$C15*Premissas!$D$7</f>
        <v>358.6</v>
      </c>
      <c r="F15" s="14" t="n">
        <f aca="false">Premissas!$C$8+$C15*Premissas!$D$8</f>
        <v>580.6</v>
      </c>
      <c r="G15" s="14" t="n">
        <f aca="false">D15/$C15</f>
        <v>8.77272727272727</v>
      </c>
      <c r="H15" s="14" t="n">
        <f aca="false">E15/$C15</f>
        <v>16.3</v>
      </c>
      <c r="I15" s="14" t="n">
        <f aca="false">F15/$C15</f>
        <v>26.3909090909091</v>
      </c>
    </row>
    <row r="16" customFormat="false" ht="15" hidden="false" customHeight="false" outlineLevel="0" collapsed="false">
      <c r="B16" s="9" t="str">
        <f aca="false">Carteira!C16</f>
        <v>Grão Pará</v>
      </c>
      <c r="C16" s="8" t="n">
        <f aca="false">Carteira!D16</f>
        <v>20</v>
      </c>
      <c r="D16" s="11" t="n">
        <f aca="false">Premissas!$C$6+$C16*Premissas!$D$6</f>
        <v>189</v>
      </c>
      <c r="E16" s="11" t="n">
        <f aca="false">Premissas!$C$7+$C16*Premissas!$D$7</f>
        <v>353</v>
      </c>
      <c r="F16" s="11" t="n">
        <f aca="false">Premissas!$C$8+$C16*Premissas!$D$8</f>
        <v>573</v>
      </c>
      <c r="G16" s="11" t="n">
        <f aca="false">D16/$C16</f>
        <v>9.45</v>
      </c>
      <c r="H16" s="11" t="n">
        <f aca="false">E16/$C16</f>
        <v>17.65</v>
      </c>
      <c r="I16" s="11" t="n">
        <f aca="false">F16/$C16</f>
        <v>28.65</v>
      </c>
    </row>
    <row r="17" customFormat="false" ht="15" hidden="false" customHeight="false" outlineLevel="0" collapsed="false">
      <c r="B17" s="13" t="str">
        <f aca="false">Carteira!C17</f>
        <v>Santos Dumont</v>
      </c>
      <c r="C17" s="12" t="n">
        <f aca="false">Carteira!D17</f>
        <v>20</v>
      </c>
      <c r="D17" s="14" t="n">
        <f aca="false">Premissas!$C$6+$C17*Premissas!$D$6</f>
        <v>189</v>
      </c>
      <c r="E17" s="14" t="n">
        <f aca="false">Premissas!$C$7+$C17*Premissas!$D$7</f>
        <v>353</v>
      </c>
      <c r="F17" s="14" t="n">
        <f aca="false">Premissas!$C$8+$C17*Premissas!$D$8</f>
        <v>573</v>
      </c>
      <c r="G17" s="14" t="n">
        <f aca="false">D17/$C17</f>
        <v>9.45</v>
      </c>
      <c r="H17" s="14" t="n">
        <f aca="false">E17/$C17</f>
        <v>17.65</v>
      </c>
      <c r="I17" s="14" t="n">
        <f aca="false">F17/$C17</f>
        <v>28.65</v>
      </c>
    </row>
    <row r="18" customFormat="false" ht="15" hidden="false" customHeight="false" outlineLevel="0" collapsed="false">
      <c r="B18" s="9" t="str">
        <f aca="false">Carteira!C18</f>
        <v>Santorini</v>
      </c>
      <c r="C18" s="8" t="n">
        <f aca="false">Carteira!D18</f>
        <v>16</v>
      </c>
      <c r="D18" s="11" t="n">
        <f aca="false">Premissas!$C$6+$C18*Premissas!$D$6</f>
        <v>181</v>
      </c>
      <c r="E18" s="11" t="n">
        <f aca="false">Premissas!$C$7+$C18*Premissas!$D$7</f>
        <v>341.8</v>
      </c>
      <c r="F18" s="11" t="n">
        <f aca="false">Premissas!$C$8+$C18*Premissas!$D$8</f>
        <v>557.8</v>
      </c>
      <c r="G18" s="11" t="n">
        <f aca="false">D18/$C18</f>
        <v>11.3125</v>
      </c>
      <c r="H18" s="11" t="n">
        <f aca="false">E18/$C18</f>
        <v>21.3625</v>
      </c>
      <c r="I18" s="11" t="n">
        <f aca="false">F18/$C18</f>
        <v>34.8625</v>
      </c>
    </row>
    <row r="19" customFormat="false" ht="15" hidden="false" customHeight="false" outlineLevel="0" collapsed="false">
      <c r="B19" s="13" t="str">
        <f aca="false">Carteira!C19</f>
        <v>Santa Josefa</v>
      </c>
      <c r="C19" s="12" t="n">
        <f aca="false">Carteira!D19</f>
        <v>15</v>
      </c>
      <c r="D19" s="14" t="n">
        <f aca="false">Premissas!$C$6+$C19*Premissas!$D$6</f>
        <v>179</v>
      </c>
      <c r="E19" s="14" t="n">
        <f aca="false">Premissas!$C$7+$C19*Premissas!$D$7</f>
        <v>339</v>
      </c>
      <c r="F19" s="14" t="n">
        <f aca="false">Premissas!$C$8+$C19*Premissas!$D$8</f>
        <v>554</v>
      </c>
      <c r="G19" s="14" t="n">
        <f aca="false">D19/$C19</f>
        <v>11.9333333333333</v>
      </c>
      <c r="H19" s="14" t="n">
        <f aca="false">E19/$C19</f>
        <v>22.6</v>
      </c>
      <c r="I19" s="14" t="n">
        <f aca="false">F19/$C19</f>
        <v>36.9333333333333</v>
      </c>
    </row>
    <row r="20" customFormat="false" ht="15" hidden="false" customHeight="false" outlineLevel="0" collapsed="false">
      <c r="B20" s="9" t="str">
        <f aca="false">Carteira!C20</f>
        <v>Porto Seguro</v>
      </c>
      <c r="C20" s="8" t="n">
        <f aca="false">Carteira!D20</f>
        <v>12</v>
      </c>
      <c r="D20" s="11" t="n">
        <f aca="false">Premissas!$C$6+$C20*Premissas!$D$6</f>
        <v>173</v>
      </c>
      <c r="E20" s="11" t="n">
        <f aca="false">Premissas!$C$7+$C20*Premissas!$D$7</f>
        <v>330.6</v>
      </c>
      <c r="F20" s="11" t="n">
        <f aca="false">Premissas!$C$8+$C20*Premissas!$D$8</f>
        <v>542.6</v>
      </c>
      <c r="G20" s="11" t="n">
        <f aca="false">D20/$C20</f>
        <v>14.4166666666667</v>
      </c>
      <c r="H20" s="11" t="n">
        <f aca="false">E20/$C20</f>
        <v>27.55</v>
      </c>
      <c r="I20" s="11" t="n">
        <f aca="false">F20/$C20</f>
        <v>45.2166666666667</v>
      </c>
    </row>
    <row r="21" customFormat="false" ht="15" hidden="false" customHeight="false" outlineLevel="0" collapsed="false">
      <c r="B21" s="15" t="s">
        <v>45</v>
      </c>
      <c r="C21" s="16" t="n">
        <f aca="false">SUM(C6:C20)</f>
        <v>1141</v>
      </c>
      <c r="D21" s="17" t="n">
        <f aca="false">SUM(D6:D20)</f>
        <v>4517</v>
      </c>
      <c r="E21" s="17" t="n">
        <f aca="false">SUM(E6:E20)</f>
        <v>7649.8</v>
      </c>
      <c r="F21" s="17" t="n">
        <f aca="false">SUM(F6:F20)</f>
        <v>11790.8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</cols>
  <sheetData>
    <row r="2" customFormat="false" ht="18.55" hidden="false" customHeight="false" outlineLevel="0" collapsed="false">
      <c r="B2" s="1" t="s">
        <v>46</v>
      </c>
    </row>
    <row r="3" customFormat="false" ht="15" hidden="false" customHeight="false" outlineLevel="0" collapsed="false">
      <c r="B3" s="2" t="s">
        <v>47</v>
      </c>
    </row>
    <row r="5" customFormat="false" ht="31.5" hidden="false" customHeight="true" outlineLevel="0" collapsed="false">
      <c r="B5" s="3" t="s">
        <v>48</v>
      </c>
      <c r="C5" s="3" t="s">
        <v>49</v>
      </c>
      <c r="D5" s="3" t="s">
        <v>50</v>
      </c>
      <c r="E5" s="3" t="s">
        <v>51</v>
      </c>
      <c r="F5" s="3" t="s">
        <v>21</v>
      </c>
      <c r="G5" s="3" t="s">
        <v>52</v>
      </c>
      <c r="H5" s="3" t="s">
        <v>53</v>
      </c>
    </row>
    <row r="6" customFormat="false" ht="15" hidden="false" customHeight="false" outlineLevel="0" collapsed="false">
      <c r="B6" s="21" t="s">
        <v>54</v>
      </c>
      <c r="C6" s="22" t="n">
        <v>0.4</v>
      </c>
      <c r="D6" s="23" t="n">
        <f aca="false">ROUND(C6*15,0)</f>
        <v>6</v>
      </c>
      <c r="E6" s="24" t="n">
        <f aca="false">Carteira!$E$21*C6</f>
        <v>3059.92</v>
      </c>
      <c r="F6" s="24" t="n">
        <f aca="false">E6*12</f>
        <v>36719.04</v>
      </c>
      <c r="G6" s="24" t="n">
        <f aca="false">Premissas!$E$7*D6</f>
        <v>2940</v>
      </c>
      <c r="H6" s="24" t="n">
        <f aca="false">F6+G6</f>
        <v>39659.04</v>
      </c>
    </row>
    <row r="7" customFormat="false" ht="15" hidden="false" customHeight="false" outlineLevel="0" collapsed="false">
      <c r="B7" s="21" t="s">
        <v>55</v>
      </c>
      <c r="C7" s="22" t="n">
        <v>0.6</v>
      </c>
      <c r="D7" s="23" t="n">
        <f aca="false">ROUND(C7*15,0)</f>
        <v>9</v>
      </c>
      <c r="E7" s="24" t="n">
        <f aca="false">Carteira!$E$21*C7</f>
        <v>4589.88</v>
      </c>
      <c r="F7" s="24" t="n">
        <f aca="false">E7*12</f>
        <v>55078.56</v>
      </c>
      <c r="G7" s="24" t="n">
        <f aca="false">Premissas!$E$7*D7</f>
        <v>4410</v>
      </c>
      <c r="H7" s="24" t="n">
        <f aca="false">F7+G7</f>
        <v>59488.56</v>
      </c>
    </row>
    <row r="8" customFormat="false" ht="15" hidden="false" customHeight="false" outlineLevel="0" collapsed="false">
      <c r="B8" s="25" t="s">
        <v>56</v>
      </c>
      <c r="C8" s="26" t="n">
        <v>0.75</v>
      </c>
      <c r="D8" s="27" t="n">
        <f aca="false">ROUND(C8*15,0)</f>
        <v>11</v>
      </c>
      <c r="E8" s="28" t="n">
        <f aca="false">Carteira!$E$21*C8</f>
        <v>5737.35</v>
      </c>
      <c r="F8" s="28" t="n">
        <f aca="false">E8*12</f>
        <v>68848.2</v>
      </c>
      <c r="G8" s="28" t="n">
        <f aca="false">Premissas!$E$7*D8</f>
        <v>5390</v>
      </c>
      <c r="H8" s="28" t="n">
        <f aca="false">F8+G8</f>
        <v>74238.2</v>
      </c>
    </row>
    <row r="9" customFormat="false" ht="15" hidden="false" customHeight="false" outlineLevel="0" collapsed="false">
      <c r="B9" s="21" t="s">
        <v>57</v>
      </c>
      <c r="C9" s="22" t="n">
        <v>1</v>
      </c>
      <c r="D9" s="23" t="n">
        <f aca="false">ROUND(C9*15,0)</f>
        <v>15</v>
      </c>
      <c r="E9" s="24" t="n">
        <f aca="false">Carteira!$E$21*C9</f>
        <v>7649.8</v>
      </c>
      <c r="F9" s="24" t="n">
        <f aca="false">E9*12</f>
        <v>91797.6</v>
      </c>
      <c r="G9" s="24" t="n">
        <f aca="false">Premissas!$E$7*D9</f>
        <v>7350</v>
      </c>
      <c r="H9" s="24" t="n">
        <f aca="false">F9+G9</f>
        <v>99147.6</v>
      </c>
    </row>
    <row r="12" customFormat="false" ht="15" hidden="false" customHeight="false" outlineLevel="0" collapsed="false">
      <c r="B12" s="29" t="s">
        <v>58</v>
      </c>
    </row>
    <row r="13" customFormat="false" ht="15" hidden="false" customHeight="true" outlineLevel="0" collapsed="false">
      <c r="B13" s="30" t="s">
        <v>59</v>
      </c>
      <c r="C13" s="30"/>
      <c r="D13" s="30"/>
      <c r="E13" s="30"/>
      <c r="F13" s="30"/>
      <c r="G13" s="30"/>
      <c r="H13" s="30"/>
    </row>
    <row r="14" customFormat="false" ht="15" hidden="false" customHeight="false" outlineLevel="0" collapsed="false">
      <c r="B14" s="30"/>
      <c r="C14" s="30"/>
      <c r="D14" s="30"/>
      <c r="E14" s="30"/>
      <c r="F14" s="30"/>
      <c r="G14" s="30"/>
      <c r="H14" s="30"/>
    </row>
    <row r="15" customFormat="false" ht="15" hidden="false" customHeight="false" outlineLevel="0" collapsed="false">
      <c r="B15" s="30"/>
      <c r="C15" s="30"/>
      <c r="D15" s="30"/>
      <c r="E15" s="30"/>
      <c r="F15" s="30"/>
      <c r="G15" s="30"/>
      <c r="H15" s="30"/>
    </row>
    <row r="16" customFormat="false" ht="15" hidden="false" customHeight="false" outlineLevel="0" collapsed="false">
      <c r="B16" s="30"/>
      <c r="C16" s="30"/>
      <c r="D16" s="30"/>
      <c r="E16" s="30"/>
      <c r="F16" s="30"/>
      <c r="G16" s="30"/>
      <c r="H16" s="30"/>
    </row>
  </sheetData>
  <mergeCells count="1">
    <mergeCell ref="B13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2026-08-27T00:14:49Z</dcterms:created>
  <dc:creator>openpyxl</dc:creator>
  <dc:description/>
  <dc:language>en-US</dc:language>
  <cp:lastModifiedBy/>
  <dcterms:modified xsi:type="dcterms:W3CDTF">2026-08-27T00:14:49Z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